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Sheet1 (2)" sheetId="2" r:id="rId1"/>
  </sheets>
  <definedNames>
    <definedName name="_xlnm._FilterDatabase" localSheetId="0" hidden="1">'Sheet1 (2)'!$A$7:$I$23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<sst xmlns="http://schemas.openxmlformats.org/spreadsheetml/2006/main" count="114" uniqueCount="64">
  <si>
    <r>
      <rPr>
        <sz val="11"/>
        <color rgb="FFFF0000"/>
        <rFont val="微软雅黑"/>
        <charset val="134"/>
      </rPr>
      <t xml:space="preserve">说明：
</t>
    </r>
    <r>
      <rPr>
        <sz val="11"/>
        <color rgb="FFFF0000"/>
        <rFont val="宋体"/>
        <charset val="134"/>
        <scheme val="minor"/>
      </rPr>
      <t xml:space="preserve">1. </t>
    </r>
    <r>
      <rPr>
        <sz val="11"/>
        <color rgb="FFFF0000"/>
        <rFont val="微软雅黑"/>
        <charset val="134"/>
      </rPr>
      <t xml:space="preserve">表格中不能进行单元格合并填写数据
</t>
    </r>
    <r>
      <rPr>
        <sz val="11"/>
        <color rgb="FFFF0000"/>
        <rFont val="宋体"/>
        <charset val="134"/>
        <scheme val="minor"/>
      </rPr>
      <t xml:space="preserve">2. </t>
    </r>
    <r>
      <rPr>
        <sz val="11"/>
        <color rgb="FFFF0000"/>
        <rFont val="微软雅黑"/>
        <charset val="134"/>
      </rPr>
      <t>不要对任何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行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>或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微软雅黑"/>
        <charset val="134"/>
      </rPr>
      <t xml:space="preserve">进行隐藏
</t>
    </r>
    <r>
      <rPr>
        <sz val="11"/>
        <color rgb="FFFF0000"/>
        <rFont val="宋体"/>
        <charset val="134"/>
        <scheme val="minor"/>
      </rPr>
      <t>3. J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派送目的地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填写亚马逊仓库代码四位代码，或者</t>
    </r>
    <r>
      <rPr>
        <sz val="11"/>
        <color rgb="FFFF0000"/>
        <rFont val="宋体"/>
        <charset val="134"/>
        <scheme val="minor"/>
      </rPr>
      <t>Private Address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>UPS</t>
    </r>
    <r>
      <rPr>
        <sz val="11"/>
        <color rgb="FFFF0000"/>
        <rFont val="微软雅黑"/>
        <charset val="134"/>
      </rPr>
      <t>，</t>
    </r>
    <r>
      <rPr>
        <sz val="11"/>
        <color rgb="FFFF0000"/>
        <rFont val="宋体"/>
        <charset val="134"/>
        <scheme val="minor"/>
      </rPr>
      <t xml:space="preserve">FedEx,Purolator (填写Private Address,UPS,FedEx,Purolator </t>
    </r>
    <r>
      <rPr>
        <sz val="11"/>
        <color rgb="FFFF0000"/>
        <rFont val="微软雅黑"/>
        <charset val="134"/>
      </rPr>
      <t xml:space="preserve">请将派送地址与客户联系人方式写入备注）
</t>
    </r>
    <r>
      <rPr>
        <sz val="11"/>
        <color rgb="FFFF0000"/>
        <rFont val="宋体"/>
        <charset val="134"/>
        <scheme val="minor"/>
      </rPr>
      <t>4. L</t>
    </r>
    <r>
      <rPr>
        <sz val="11"/>
        <color rgb="FFFF0000"/>
        <rFont val="微软雅黑"/>
        <charset val="134"/>
      </rPr>
      <t>列</t>
    </r>
    <r>
      <rPr>
        <sz val="11"/>
        <color rgb="FFFF0000"/>
        <rFont val="等线"/>
        <charset val="134"/>
      </rPr>
      <t>“</t>
    </r>
    <r>
      <rPr>
        <sz val="11"/>
        <color rgb="FFFF0000"/>
        <rFont val="微软雅黑"/>
        <charset val="134"/>
      </rPr>
      <t>派送方式</t>
    </r>
    <r>
      <rPr>
        <sz val="11"/>
        <color rgb="FFFF0000"/>
        <rFont val="等线"/>
        <charset val="134"/>
      </rPr>
      <t>”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rgb="FFFF0000"/>
        <rFont val="微软雅黑"/>
        <charset val="134"/>
      </rPr>
      <t>填写卡车派送，客户自提，快递派送</t>
    </r>
    <r>
      <rPr>
        <sz val="11"/>
        <color rgb="FFFF0000"/>
        <rFont val="宋体"/>
        <charset val="134"/>
        <scheme val="minor"/>
      </rPr>
      <t xml:space="preserve"> ,</t>
    </r>
    <r>
      <rPr>
        <sz val="11"/>
        <color rgb="FFFF0000"/>
        <rFont val="微软雅黑"/>
        <charset val="134"/>
      </rPr>
      <t>海外存仓</t>
    </r>
    <r>
      <rPr>
        <sz val="11"/>
        <color rgb="FFFF0000"/>
        <rFont val="宋体"/>
        <charset val="134"/>
        <scheme val="minor"/>
      </rPr>
      <t>(</t>
    </r>
    <r>
      <rPr>
        <sz val="11"/>
        <color rgb="FFFF0000"/>
        <rFont val="微软雅黑"/>
        <charset val="134"/>
      </rPr>
      <t>选择快递派送请将快递单号写入备注</t>
    </r>
    <r>
      <rPr>
        <sz val="11"/>
        <color rgb="FFFF0000"/>
        <rFont val="宋体"/>
        <charset val="134"/>
        <scheme val="minor"/>
      </rPr>
      <t>)</t>
    </r>
  </si>
  <si>
    <t>运单号</t>
  </si>
  <si>
    <t>FBA NO.</t>
  </si>
  <si>
    <t>PO#</t>
  </si>
  <si>
    <t>箱数/件数</t>
  </si>
  <si>
    <t>重量</t>
  </si>
  <si>
    <t>体积</t>
  </si>
  <si>
    <t>派送目的地</t>
  </si>
  <si>
    <t>派送方式</t>
  </si>
  <si>
    <t>备注</t>
  </si>
  <si>
    <t>箱唛标签说明</t>
  </si>
  <si>
    <t>HPT11797019</t>
  </si>
  <si>
    <t>FBA1967ZZR9J</t>
  </si>
  <si>
    <t>48QM1IWX</t>
  </si>
  <si>
    <t>YYZ7</t>
  </si>
  <si>
    <t>卡车派送</t>
  </si>
  <si>
    <t>已贴定制标签</t>
  </si>
  <si>
    <t>FBA196818H1D</t>
  </si>
  <si>
    <t>621POC5B</t>
  </si>
  <si>
    <t>HPT11797124</t>
  </si>
  <si>
    <t>FBA1968BDZSC</t>
  </si>
  <si>
    <t>8VKBJKHZ</t>
  </si>
  <si>
    <t>HPT11796966</t>
  </si>
  <si>
    <t>FBA19681X6K</t>
  </si>
  <si>
    <t>2D8Q24QZ</t>
  </si>
  <si>
    <t>YYZ4</t>
  </si>
  <si>
    <t>HPT11797125</t>
  </si>
  <si>
    <t>FBA1968B4JJP</t>
  </si>
  <si>
    <t>1QIB5ZFH</t>
  </si>
  <si>
    <t>FBA196QGGLN7</t>
  </si>
  <si>
    <t>7CYYBFCD</t>
  </si>
  <si>
    <t>FBA19688R52M</t>
  </si>
  <si>
    <t>7F1TFUPC</t>
  </si>
  <si>
    <t>FBA19687B4ZJ</t>
  </si>
  <si>
    <t>3IYVSPNZ</t>
  </si>
  <si>
    <t>HPT11797121</t>
  </si>
  <si>
    <t>FBA196QLX41D</t>
  </si>
  <si>
    <t>52GLESEA</t>
  </si>
  <si>
    <t>YOW3</t>
  </si>
  <si>
    <t>FBA196L7D3YJ</t>
  </si>
  <si>
    <t>78G3ONHY</t>
  </si>
  <si>
    <t>HPT11796386</t>
  </si>
  <si>
    <t>FBA197G6N4K3</t>
  </si>
  <si>
    <t>7UO1XC2N</t>
  </si>
  <si>
    <t>MC010197298</t>
  </si>
  <si>
    <t>FBA1974R05LS</t>
  </si>
  <si>
    <t>74A96GSM</t>
  </si>
  <si>
    <t>YXU1</t>
  </si>
  <si>
    <t>HPT11797647</t>
  </si>
  <si>
    <t>FBA197FB2P8B</t>
  </si>
  <si>
    <t>4RVO1YND</t>
  </si>
  <si>
    <t>HPT11793502</t>
  </si>
  <si>
    <t>FBA197BJT6FS</t>
  </si>
  <si>
    <t>8SJ1HVWO</t>
  </si>
  <si>
    <t>HPT11795426</t>
  </si>
  <si>
    <t>FBA197CCV2PR</t>
  </si>
  <si>
    <t>5OP74X8L</t>
  </si>
  <si>
    <t>MC010199469</t>
  </si>
  <si>
    <t>FBA197GXWM9K</t>
  </si>
  <si>
    <t>32P23ATA</t>
  </si>
  <si>
    <t>HPT11795535</t>
  </si>
  <si>
    <t>FBA1979NW9XP</t>
  </si>
  <si>
    <t>1Y4ZIQQR</t>
  </si>
  <si>
    <t>2.8 多伦多海运  SO 149600499961 柜号 EGHU9514111 40HQ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</si>
</sst>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7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1"/>
      <name val="微软雅黑"/>
      <charset val="134"/>
    </font>
    <font>
      <sz val="11"/>
      <color rgb="FFFF0000"/>
      <name val="微软雅黑"/>
      <charset val="134"/>
    </font>
    <font>
      <sz val="11"/>
      <color rgb="FFFF0000"/>
      <name val="宋体"/>
      <charset val="134"/>
      <scheme val="minor"/>
    </font>
    <font>
      <b/>
      <sz val="10"/>
      <color theme="0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等线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5117038483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6" borderId="3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8" borderId="7" applyNumberFormat="0" applyAlignment="0" applyProtection="0">
      <alignment vertical="center"/>
    </xf>
    <xf numFmtId="0" fontId="17" fillId="8" borderId="6" applyNumberFormat="0" applyAlignment="0" applyProtection="0">
      <alignment vertical="center"/>
    </xf>
    <xf numFmtId="0" fontId="18" fillId="9" borderId="8" applyNumberFormat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2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176" fontId="2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2" borderId="0" xfId="46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left" vertical="center" wrapText="1"/>
    </xf>
    <xf numFmtId="176" fontId="4" fillId="2" borderId="0" xfId="46" applyNumberFormat="1" applyFont="1" applyFill="1" applyBorder="1" applyAlignment="1">
      <alignment horizontal="left" vertical="center" wrapText="1"/>
    </xf>
    <xf numFmtId="0" fontId="4" fillId="2" borderId="0" xfId="46" applyFont="1" applyFill="1" applyBorder="1" applyAlignment="1">
      <alignment horizontal="center" vertical="center" wrapText="1"/>
    </xf>
    <xf numFmtId="0" fontId="4" fillId="2" borderId="1" xfId="46" applyFont="1" applyFill="1" applyBorder="1" applyAlignment="1">
      <alignment horizontal="left" vertical="center" wrapText="1"/>
    </xf>
    <xf numFmtId="176" fontId="4" fillId="2" borderId="1" xfId="46" applyNumberFormat="1" applyFont="1" applyFill="1" applyBorder="1" applyAlignment="1">
      <alignment horizontal="left" vertical="center" wrapText="1"/>
    </xf>
    <xf numFmtId="0" fontId="4" fillId="2" borderId="1" xfId="46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/>
    </xf>
    <xf numFmtId="176" fontId="5" fillId="3" borderId="2" xfId="0" applyNumberFormat="1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6" fillId="5" borderId="2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76" fontId="2" fillId="0" borderId="0" xfId="0" applyNumberFormat="1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176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mruColors>
      <color rgb="00FFFF00"/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J29"/>
  <sheetViews>
    <sheetView tabSelected="1" zoomScale="85" zoomScaleNormal="85" workbookViewId="0">
      <selection activeCell="I26" sqref="I26"/>
    </sheetView>
  </sheetViews>
  <sheetFormatPr defaultColWidth="14.25" defaultRowHeight="27" customHeight="1"/>
  <cols>
    <col min="1" max="1" width="14.625" style="2" customWidth="1"/>
    <col min="2" max="3" width="17.75" style="2" customWidth="1"/>
    <col min="4" max="4" width="9.75" style="2" customWidth="1"/>
    <col min="5" max="5" width="9.625" style="3" customWidth="1"/>
    <col min="6" max="6" width="11.25" style="3" customWidth="1"/>
    <col min="7" max="7" width="14.25" style="4"/>
    <col min="8" max="8" width="24.75" style="2" customWidth="1"/>
    <col min="9" max="9" width="12.625" style="5" customWidth="1"/>
    <col min="10" max="16369" width="14.25" style="2" customWidth="1"/>
    <col min="16370" max="16384" width="14.25" style="2"/>
  </cols>
  <sheetData>
    <row r="1" s="1" customFormat="1" ht="16.5" customHeight="1" spans="1:10">
      <c r="A1" s="6" t="s">
        <v>0</v>
      </c>
      <c r="B1" s="7"/>
      <c r="C1" s="7"/>
      <c r="D1" s="7"/>
      <c r="E1" s="8"/>
      <c r="F1" s="8"/>
      <c r="G1" s="9"/>
      <c r="H1" s="7"/>
      <c r="I1" s="7"/>
      <c r="J1" s="7"/>
    </row>
    <row r="2" s="1" customFormat="1" ht="16.5" spans="1:10">
      <c r="A2" s="7"/>
      <c r="B2" s="7"/>
      <c r="C2" s="7"/>
      <c r="D2" s="7"/>
      <c r="E2" s="8"/>
      <c r="F2" s="8"/>
      <c r="G2" s="9"/>
      <c r="H2" s="7"/>
      <c r="I2" s="7"/>
      <c r="J2" s="7"/>
    </row>
    <row r="3" s="1" customFormat="1" ht="16.5" spans="1:10">
      <c r="A3" s="7"/>
      <c r="B3" s="7"/>
      <c r="C3" s="7"/>
      <c r="D3" s="7"/>
      <c r="E3" s="8"/>
      <c r="F3" s="8"/>
      <c r="G3" s="9"/>
      <c r="H3" s="7"/>
      <c r="I3" s="7"/>
      <c r="J3" s="7"/>
    </row>
    <row r="4" s="1" customFormat="1" ht="16.5" spans="1:10">
      <c r="A4" s="7"/>
      <c r="B4" s="7"/>
      <c r="C4" s="7"/>
      <c r="D4" s="7"/>
      <c r="E4" s="8"/>
      <c r="F4" s="8"/>
      <c r="G4" s="9"/>
      <c r="H4" s="7"/>
      <c r="I4" s="7"/>
      <c r="J4" s="7"/>
    </row>
    <row r="5" s="1" customFormat="1" ht="17" customHeight="1" spans="1:10">
      <c r="A5" s="10"/>
      <c r="B5" s="10"/>
      <c r="C5" s="10"/>
      <c r="D5" s="10"/>
      <c r="E5" s="11"/>
      <c r="F5" s="11"/>
      <c r="G5" s="12"/>
      <c r="H5" s="10"/>
      <c r="I5" s="10"/>
      <c r="J5" s="10"/>
    </row>
    <row r="6" s="1" customFormat="1" ht="16.5" spans="1:10">
      <c r="A6" s="13" t="s">
        <v>1</v>
      </c>
      <c r="B6" s="13" t="s">
        <v>2</v>
      </c>
      <c r="C6" s="13" t="s">
        <v>3</v>
      </c>
      <c r="D6" s="13" t="s">
        <v>4</v>
      </c>
      <c r="E6" s="14" t="s">
        <v>5</v>
      </c>
      <c r="F6" s="14" t="s">
        <v>6</v>
      </c>
      <c r="G6" s="15" t="s">
        <v>7</v>
      </c>
      <c r="H6" s="15" t="s">
        <v>8</v>
      </c>
      <c r="I6" s="16" t="s">
        <v>9</v>
      </c>
      <c r="J6" s="16" t="s">
        <v>10</v>
      </c>
    </row>
    <row r="7" customHeight="1" spans="1:10">
      <c r="A7" s="17" t="s">
        <v>11</v>
      </c>
      <c r="B7" s="18" t="s">
        <v>12</v>
      </c>
      <c r="C7" s="18" t="s">
        <v>13</v>
      </c>
      <c r="D7" s="18">
        <v>50</v>
      </c>
      <c r="E7" s="19">
        <v>703.2</v>
      </c>
      <c r="F7" s="3">
        <v>3.06407185628742</v>
      </c>
      <c r="G7" s="20" t="s">
        <v>14</v>
      </c>
      <c r="H7" s="2" t="s">
        <v>15</v>
      </c>
      <c r="I7" s="21" t="s">
        <v>16</v>
      </c>
    </row>
    <row r="8" customHeight="1" spans="1:10">
      <c r="A8" s="17" t="s">
        <v>11</v>
      </c>
      <c r="B8" s="17" t="s">
        <v>17</v>
      </c>
      <c r="C8" s="17" t="s">
        <v>18</v>
      </c>
      <c r="D8" s="17">
        <v>430</v>
      </c>
      <c r="E8" s="19">
        <v>703.2</v>
      </c>
      <c r="F8" s="22">
        <v>3.06407185628742</v>
      </c>
      <c r="G8" s="20" t="s">
        <v>14</v>
      </c>
      <c r="H8" s="2" t="s">
        <v>15</v>
      </c>
      <c r="I8" s="21" t="s">
        <v>16</v>
      </c>
    </row>
    <row r="9" customFormat="1" customHeight="1" spans="1:10">
      <c r="A9" s="17" t="s">
        <v>19</v>
      </c>
      <c r="B9" s="17" t="s">
        <v>20</v>
      </c>
      <c r="C9" s="17" t="s">
        <v>21</v>
      </c>
      <c r="D9" s="17">
        <v>384</v>
      </c>
      <c r="E9" s="19">
        <v>1190.4</v>
      </c>
      <c r="F9" s="22">
        <v>7.27784431137725</v>
      </c>
      <c r="G9" s="20" t="s">
        <v>14</v>
      </c>
      <c r="H9" s="2" t="s">
        <v>15</v>
      </c>
      <c r="I9" s="21" t="s">
        <v>16</v>
      </c>
    </row>
    <row r="10" customFormat="1" customHeight="1" spans="1:10">
      <c r="A10" s="17" t="s">
        <v>22</v>
      </c>
      <c r="B10" s="17" t="s">
        <v>23</v>
      </c>
      <c r="C10" s="17" t="s">
        <v>24</v>
      </c>
      <c r="D10" s="17">
        <v>740</v>
      </c>
      <c r="E10" s="19">
        <v>2168.2</v>
      </c>
      <c r="F10" s="22">
        <v>9.9892215568862</v>
      </c>
      <c r="G10" s="20" t="s">
        <v>25</v>
      </c>
      <c r="H10" s="2" t="s">
        <v>15</v>
      </c>
      <c r="I10" s="21" t="s">
        <v>16</v>
      </c>
    </row>
    <row r="11" customFormat="1" customHeight="1" spans="1:10">
      <c r="A11" s="17" t="s">
        <v>26</v>
      </c>
      <c r="B11" s="17" t="s">
        <v>27</v>
      </c>
      <c r="C11" s="17" t="s">
        <v>28</v>
      </c>
      <c r="D11" s="17">
        <v>392</v>
      </c>
      <c r="E11" s="19">
        <v>705.38</v>
      </c>
      <c r="F11" s="22">
        <v>3.65131736526945</v>
      </c>
      <c r="G11" s="20" t="s">
        <v>25</v>
      </c>
      <c r="H11" s="2" t="s">
        <v>15</v>
      </c>
      <c r="I11" s="21" t="s">
        <v>16</v>
      </c>
    </row>
    <row r="12" customFormat="1" customHeight="1" spans="1:10">
      <c r="A12" s="17" t="s">
        <v>26</v>
      </c>
      <c r="B12" s="17" t="s">
        <v>29</v>
      </c>
      <c r="C12" s="17" t="s">
        <v>30</v>
      </c>
      <c r="D12" s="17">
        <v>309</v>
      </c>
      <c r="E12" s="19">
        <v>705.38</v>
      </c>
      <c r="F12" s="22">
        <v>3.65131736526945</v>
      </c>
      <c r="G12" s="20" t="s">
        <v>25</v>
      </c>
      <c r="H12" s="2" t="s">
        <v>15</v>
      </c>
      <c r="I12" s="21" t="s">
        <v>16</v>
      </c>
    </row>
    <row r="13" customFormat="1" customHeight="1" spans="1:10">
      <c r="A13" s="17" t="s">
        <v>26</v>
      </c>
      <c r="B13" s="17" t="s">
        <v>31</v>
      </c>
      <c r="C13" s="17" t="s">
        <v>32</v>
      </c>
      <c r="D13" s="17">
        <v>206</v>
      </c>
      <c r="E13" s="19">
        <v>705.38</v>
      </c>
      <c r="F13" s="22">
        <v>3.65131736526945</v>
      </c>
      <c r="G13" s="20" t="s">
        <v>25</v>
      </c>
      <c r="H13" s="2" t="s">
        <v>15</v>
      </c>
      <c r="I13" s="21" t="s">
        <v>16</v>
      </c>
    </row>
    <row r="14" customFormat="1" customHeight="1" spans="1:10">
      <c r="A14" s="17" t="s">
        <v>26</v>
      </c>
      <c r="B14" s="23" t="s">
        <v>33</v>
      </c>
      <c r="C14" s="23" t="s">
        <v>34</v>
      </c>
      <c r="D14" s="17">
        <v>67</v>
      </c>
      <c r="E14" s="19">
        <v>705.38</v>
      </c>
      <c r="F14" s="22">
        <v>3.65131736526945</v>
      </c>
      <c r="G14" s="20" t="s">
        <v>25</v>
      </c>
      <c r="H14" s="2" t="s">
        <v>15</v>
      </c>
      <c r="I14" s="21" t="s">
        <v>16</v>
      </c>
    </row>
    <row r="15" customFormat="1" customHeight="1" spans="1:10">
      <c r="A15" s="17" t="s">
        <v>35</v>
      </c>
      <c r="B15" s="23" t="s">
        <v>36</v>
      </c>
      <c r="C15" s="23" t="s">
        <v>37</v>
      </c>
      <c r="D15" s="17">
        <v>200</v>
      </c>
      <c r="E15" s="19">
        <v>368.46</v>
      </c>
      <c r="F15" s="22">
        <v>1.87059880239521</v>
      </c>
      <c r="G15" s="20" t="s">
        <v>38</v>
      </c>
      <c r="H15" s="2" t="s">
        <v>15</v>
      </c>
      <c r="I15" s="21" t="s">
        <v>16</v>
      </c>
    </row>
    <row r="16" customHeight="1" spans="1:10">
      <c r="A16" s="17" t="s">
        <v>35</v>
      </c>
      <c r="B16" s="23" t="s">
        <v>39</v>
      </c>
      <c r="C16" s="23" t="s">
        <v>40</v>
      </c>
      <c r="D16" s="17">
        <v>67</v>
      </c>
      <c r="E16" s="19">
        <v>368.46</v>
      </c>
      <c r="F16" s="22">
        <v>1.87059880239521</v>
      </c>
      <c r="G16" s="20" t="s">
        <v>38</v>
      </c>
      <c r="H16" s="2" t="s">
        <v>15</v>
      </c>
      <c r="I16" s="21" t="s">
        <v>16</v>
      </c>
    </row>
    <row r="17" customHeight="1" spans="1:9">
      <c r="A17" s="18" t="s">
        <v>41</v>
      </c>
      <c r="B17" s="18" t="s">
        <v>42</v>
      </c>
      <c r="C17" s="17" t="s">
        <v>43</v>
      </c>
      <c r="D17" s="18">
        <v>17</v>
      </c>
      <c r="E17" s="19">
        <v>285.5</v>
      </c>
      <c r="F17" s="22">
        <v>1.31095808383234</v>
      </c>
      <c r="G17" s="20" t="s">
        <v>38</v>
      </c>
      <c r="H17" s="2" t="s">
        <v>15</v>
      </c>
      <c r="I17" s="21" t="s">
        <v>16</v>
      </c>
    </row>
    <row r="18" customHeight="1" spans="1:9">
      <c r="A18" s="17" t="s">
        <v>44</v>
      </c>
      <c r="B18" s="17" t="s">
        <v>45</v>
      </c>
      <c r="C18" s="17" t="s">
        <v>46</v>
      </c>
      <c r="D18" s="17">
        <v>66</v>
      </c>
      <c r="E18" s="19">
        <v>1090.5</v>
      </c>
      <c r="F18" s="22">
        <v>3.09167664670659</v>
      </c>
      <c r="G18" s="20" t="s">
        <v>47</v>
      </c>
      <c r="H18" s="2" t="s">
        <v>15</v>
      </c>
      <c r="I18" s="21" t="s">
        <v>16</v>
      </c>
    </row>
    <row r="19" customHeight="1" spans="1:9">
      <c r="A19" s="18" t="s">
        <v>48</v>
      </c>
      <c r="B19" s="18" t="s">
        <v>49</v>
      </c>
      <c r="C19" s="17" t="s">
        <v>50</v>
      </c>
      <c r="D19" s="18">
        <v>9</v>
      </c>
      <c r="E19" s="19">
        <v>132.9</v>
      </c>
      <c r="F19" s="22">
        <v>0.944431137724551</v>
      </c>
      <c r="G19" s="20" t="s">
        <v>47</v>
      </c>
      <c r="H19" s="2" t="s">
        <v>15</v>
      </c>
      <c r="I19" s="21" t="s">
        <v>16</v>
      </c>
    </row>
    <row r="20" customHeight="1" spans="1:9">
      <c r="A20" s="18" t="s">
        <v>51</v>
      </c>
      <c r="B20" s="18" t="s">
        <v>52</v>
      </c>
      <c r="C20" s="17" t="s">
        <v>53</v>
      </c>
      <c r="D20" s="18">
        <v>6</v>
      </c>
      <c r="E20" s="19">
        <v>95.5</v>
      </c>
      <c r="F20" s="22">
        <v>0.846107784431138</v>
      </c>
      <c r="G20" s="20" t="s">
        <v>47</v>
      </c>
      <c r="H20" s="2" t="s">
        <v>15</v>
      </c>
      <c r="I20" s="21" t="s">
        <v>16</v>
      </c>
    </row>
    <row r="21" customHeight="1" spans="1:9">
      <c r="A21" s="2" t="s">
        <v>54</v>
      </c>
      <c r="B21" s="2" t="s">
        <v>55</v>
      </c>
      <c r="C21" s="17" t="s">
        <v>56</v>
      </c>
      <c r="D21" s="2">
        <v>147</v>
      </c>
      <c r="E21" s="3">
        <v>1500.95</v>
      </c>
      <c r="F21" s="22">
        <v>14.3174251497006</v>
      </c>
      <c r="G21" s="20" t="s">
        <v>47</v>
      </c>
      <c r="H21" s="2" t="s">
        <v>15</v>
      </c>
      <c r="I21" s="21" t="s">
        <v>16</v>
      </c>
    </row>
    <row r="22" customHeight="1" spans="1:9">
      <c r="A22" s="2" t="s">
        <v>57</v>
      </c>
      <c r="B22" s="2" t="s">
        <v>58</v>
      </c>
      <c r="C22" s="17" t="s">
        <v>59</v>
      </c>
      <c r="D22" s="2">
        <v>86</v>
      </c>
      <c r="E22" s="3">
        <v>1343</v>
      </c>
      <c r="F22" s="22">
        <v>5.4488622754491</v>
      </c>
      <c r="G22" s="20" t="s">
        <v>47</v>
      </c>
      <c r="H22" s="2" t="s">
        <v>15</v>
      </c>
      <c r="I22" s="21" t="s">
        <v>16</v>
      </c>
    </row>
    <row r="23" customHeight="1" spans="1:9">
      <c r="A23" s="2" t="s">
        <v>60</v>
      </c>
      <c r="B23" s="2" t="s">
        <v>61</v>
      </c>
      <c r="C23" s="17" t="s">
        <v>62</v>
      </c>
      <c r="D23" s="2">
        <v>5</v>
      </c>
      <c r="E23" s="3">
        <v>72.8</v>
      </c>
      <c r="F23" s="22">
        <v>0.300419161676647</v>
      </c>
      <c r="G23" s="20" t="s">
        <v>47</v>
      </c>
      <c r="H23" s="2" t="s">
        <v>15</v>
      </c>
      <c r="I23" s="21" t="s">
        <v>16</v>
      </c>
    </row>
    <row r="26" customHeight="1" spans="1:9">
      <c r="I26" s="2" t="s">
        <v>63</v>
      </c>
    </row>
    <row r="27" customHeight="1" spans="1:9">
      <c r="D27" s="2">
        <f t="shared" ref="D27:F27" si="0">SUM(D7:D26)</f>
        <v>3181</v>
      </c>
      <c r="E27" s="3">
        <f t="shared" si="0"/>
        <v>12844.59</v>
      </c>
      <c r="F27" s="3">
        <f t="shared" si="0"/>
        <v>68.0015568862275</v>
      </c>
      <c r="I27" s="2"/>
    </row>
    <row r="28" customHeight="1" spans="1:9">
      <c r="I28" s="2"/>
    </row>
    <row r="29" customHeight="1" spans="1:9">
      <c r="I29" s="2"/>
    </row>
  </sheetData>
  <mergeCells count="1">
    <mergeCell ref="A1:J5"/>
  </mergeCells>
  <conditionalFormatting sqref="B1:B6">
    <cfRule type="duplicateValues" dxfId="0" priority="1"/>
  </conditionalFormatting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 (2)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资料-武爱芹</cp:lastModifiedBy>
  <dcterms:created xsi:type="dcterms:W3CDTF">2017-09-28T13:11:00Z</dcterms:created>
  <dcterms:modified xsi:type="dcterms:W3CDTF">2026-03-05T02:54:23Z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C1016049705642499DD50B9992D1AE69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