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派送计划 Unloading Plan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<sst xmlns="http://schemas.openxmlformats.org/spreadsheetml/2006/main" count="1047" uniqueCount="538">
  <si>
    <r>
      <rPr>
        <b/>
        <u/>
        <sz val="11"/>
        <color rgb="FFFF0000"/>
        <rFont val="微软雅黑"/>
        <charset val="134"/>
      </rPr>
      <t>填写说明：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</t>
    </r>
    <r>
      <rPr>
        <sz val="11"/>
        <color rgb="FFFF0000"/>
        <rFont val="Arial"/>
        <charset val="134"/>
        <scheme val="minor"/>
      </rPr>
      <t xml:space="preserve">1.  </t>
    </r>
    <r>
      <rPr>
        <sz val="11"/>
        <color rgb="FFFF0000"/>
        <rFont val="微软雅黑"/>
        <charset val="134"/>
      </rPr>
      <t>表格中不能进行单元格合并填写数据，不要对任何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Arial"/>
        <charset val="134"/>
      </rPr>
      <t xml:space="preserve">   2</t>
    </r>
    <r>
      <rPr>
        <sz val="11"/>
        <color rgb="FFFF0000"/>
        <rFont val="Arial"/>
        <charset val="134"/>
        <scheme val="minor"/>
      </rPr>
      <t>.  G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请</t>
    </r>
    <r>
      <rPr>
        <sz val="11"/>
        <color rgb="FFFF0000"/>
        <rFont val="微软雅黑"/>
        <charset val="134"/>
      </rPr>
      <t>填写：</t>
    </r>
    <r>
      <rPr>
        <sz val="11"/>
        <color rgb="FFFF0000"/>
        <rFont val="Arial"/>
        <charset val="134"/>
      </rPr>
      <t>- FBA</t>
    </r>
    <r>
      <rPr>
        <sz val="11"/>
        <color rgb="FFFF0000"/>
        <rFont val="微软雅黑"/>
        <charset val="134"/>
      </rPr>
      <t>派送货物：亚马逊仓库</t>
    </r>
    <r>
      <rPr>
        <b/>
        <u/>
        <sz val="11"/>
        <color rgb="FF0070C0"/>
        <rFont val="微软雅黑"/>
        <charset val="134"/>
      </rPr>
      <t>四位代码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                                                 - </t>
    </r>
    <r>
      <rPr>
        <sz val="11"/>
        <color rgb="FFFF0000"/>
        <rFont val="微软雅黑"/>
        <charset val="134"/>
      </rPr>
      <t>快递派送货物：</t>
    </r>
    <r>
      <rPr>
        <b/>
        <u/>
        <sz val="11"/>
        <color rgb="FF0070C0"/>
        <rFont val="Arial"/>
        <charset val="134"/>
        <scheme val="minor"/>
      </rPr>
      <t>UPS, FedEx, Purolator</t>
    </r>
    <r>
      <rPr>
        <sz val="11"/>
        <color rgb="FF0070C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快递公司名称</t>
    </r>
    <r>
      <rPr>
        <sz val="11"/>
        <color rgb="FFFF0000"/>
        <rFont val="Arial"/>
        <charset val="134"/>
        <scheme val="minor"/>
      </rPr>
      <t xml:space="preserve"> (</t>
    </r>
    <r>
      <rPr>
        <sz val="11"/>
        <color rgb="FFFF0000"/>
        <rFont val="Arial"/>
        <charset val="134"/>
        <scheme val="minor"/>
      </rPr>
      <t>请将快递单号写入备注列，是否贴</t>
    </r>
    <r>
      <rPr>
        <sz val="11"/>
        <color rgb="FFFF0000"/>
        <rFont val="Arial"/>
        <charset val="134"/>
        <scheme val="minor"/>
      </rPr>
      <t>有</t>
    </r>
    <r>
      <rPr>
        <sz val="11"/>
        <color rgb="FFFF0000"/>
        <rFont val="Arial"/>
        <charset val="134"/>
        <scheme val="minor"/>
      </rPr>
      <t>面单请注明在箱唛标签说明列</t>
    </r>
    <r>
      <rPr>
        <sz val="11"/>
        <color rgb="FFFF0000"/>
        <rFont val="Arial"/>
        <charset val="134"/>
        <scheme val="minor"/>
      </rPr>
      <t xml:space="preserve">)
                                                    - </t>
    </r>
    <r>
      <rPr>
        <sz val="11"/>
        <color rgb="FFFF0000"/>
        <rFont val="Arial"/>
        <charset val="134"/>
        <scheme val="minor"/>
      </rPr>
      <t>商业地址</t>
    </r>
    <r>
      <rPr>
        <sz val="11"/>
        <color rgb="FFFF0000"/>
        <rFont val="Arial"/>
        <charset val="134"/>
        <scheme val="minor"/>
      </rPr>
      <t>/</t>
    </r>
    <r>
      <rPr>
        <sz val="11"/>
        <color rgb="FFFF0000"/>
        <rFont val="Arial"/>
        <charset val="134"/>
        <scheme val="minor"/>
      </rPr>
      <t>私人地址货物：</t>
    </r>
    <r>
      <rPr>
        <b/>
        <u/>
        <sz val="11"/>
        <color rgb="FF0070C0"/>
        <rFont val="Arial"/>
        <charset val="134"/>
        <scheme val="minor"/>
      </rPr>
      <t>PA/DL-1,-2,-3...</t>
    </r>
    <r>
      <rPr>
        <sz val="11"/>
        <color rgb="FFFF0000"/>
        <rFont val="Arial"/>
        <charset val="134"/>
        <scheme val="minor"/>
      </rPr>
      <t xml:space="preserve"> (</t>
    </r>
    <r>
      <rPr>
        <sz val="11"/>
        <color rgb="FFFF0000"/>
        <rFont val="Arial"/>
        <charset val="134"/>
        <scheme val="minor"/>
      </rPr>
      <t>用于</t>
    </r>
    <r>
      <rPr>
        <sz val="11"/>
        <color rgb="FFFF0000"/>
        <rFont val="Arial"/>
        <charset val="134"/>
        <scheme val="minor"/>
      </rPr>
      <t xml:space="preserve"> “</t>
    </r>
    <r>
      <rPr>
        <sz val="11"/>
        <color rgb="FFFF0000"/>
        <rFont val="Arial"/>
        <charset val="134"/>
        <scheme val="minor"/>
      </rPr>
      <t>卡车派送</t>
    </r>
    <r>
      <rPr>
        <sz val="11"/>
        <color rgb="FFFF0000"/>
        <rFont val="Arial"/>
        <charset val="134"/>
        <scheme val="minor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 xml:space="preserve">货物）请将具体收货地址及联系人信息填写在备注栏
</t>
    </r>
    <r>
      <rPr>
        <sz val="11"/>
        <color rgb="FFFF0000"/>
        <rFont val="Arial"/>
        <charset val="134"/>
        <scheme val="minor"/>
      </rPr>
      <t xml:space="preserve">                                                                                                </t>
    </r>
    <r>
      <rPr>
        <b/>
        <u/>
        <sz val="11"/>
        <color rgb="FF0070C0"/>
        <rFont val="Arial"/>
        <charset val="134"/>
        <scheme val="minor"/>
      </rPr>
      <t>PA/PU-1,-2,-3...</t>
    </r>
    <r>
      <rPr>
        <sz val="11"/>
        <color rgb="FFFF0000"/>
        <rFont val="Arial"/>
        <charset val="134"/>
        <scheme val="minor"/>
      </rPr>
      <t xml:space="preserve"> (</t>
    </r>
    <r>
      <rPr>
        <sz val="11"/>
        <color rgb="FFFF0000"/>
        <rFont val="Arial"/>
        <charset val="134"/>
        <scheme val="minor"/>
      </rPr>
      <t>用于</t>
    </r>
    <r>
      <rPr>
        <sz val="11"/>
        <color rgb="FFFF0000"/>
        <rFont val="Arial"/>
        <charset val="134"/>
        <scheme val="minor"/>
      </rPr>
      <t xml:space="preserve"> “</t>
    </r>
    <r>
      <rPr>
        <sz val="11"/>
        <color rgb="FFFF0000"/>
        <rFont val="Arial"/>
        <charset val="134"/>
        <scheme val="minor"/>
      </rPr>
      <t>客户自提</t>
    </r>
    <r>
      <rPr>
        <sz val="11"/>
        <color rgb="FFFF0000"/>
        <rFont val="Arial"/>
        <charset val="134"/>
        <scheme val="minor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货物）请将联系人信息填写在备注栏</t>
    </r>
    <r>
      <rPr>
        <sz val="11"/>
        <color rgb="FFFF0000"/>
        <rFont val="微软雅黑"/>
        <charset val="134"/>
      </rPr>
      <t xml:space="preserve">
</t>
    </r>
    <r>
      <rPr>
        <sz val="11"/>
        <color rgb="FFFF0000"/>
        <rFont val="Arial"/>
        <charset val="134"/>
      </rPr>
      <t xml:space="preserve">   3</t>
    </r>
    <r>
      <rPr>
        <sz val="11"/>
        <color rgb="FFFF0000"/>
        <rFont val="Arial"/>
        <charset val="134"/>
        <scheme val="minor"/>
      </rPr>
      <t>.  H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Arial"/>
        <charset val="134"/>
        <scheme val="minor"/>
      </rPr>
      <t xml:space="preserve"> </t>
    </r>
    <r>
      <rPr>
        <sz val="11"/>
        <color rgb="FFFF0000"/>
        <rFont val="Arial"/>
        <charset val="134"/>
        <scheme val="minor"/>
      </rPr>
      <t>请选择</t>
    </r>
    <r>
      <rPr>
        <sz val="11"/>
        <color rgb="FFFF0000"/>
        <rFont val="微软雅黑"/>
        <charset val="134"/>
      </rPr>
      <t>填写：卡车派送，客户自提，快递派送，海外存仓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</si>
  <si>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</si>
  <si>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</si>
  <si>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</si>
  <si>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</si>
  <si>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</si>
  <si>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</si>
  <si>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</si>
  <si>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</si>
  <si>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商业/私人派送地址 及联系方式</t>
  </si>
  <si>
    <t>箱唛标签说明</t>
  </si>
  <si>
    <t>LX10211802</t>
  </si>
  <si>
    <t>FBA197C5JNFY</t>
  </si>
  <si>
    <t>39VCNTYF</t>
  </si>
  <si>
    <t>YYZ9</t>
  </si>
  <si>
    <t>卡车派送</t>
  </si>
  <si>
    <t/>
  </si>
  <si>
    <t>商业/私人地址 “卡车派送” 填写样式</t>
  </si>
  <si>
    <t>LX10213852</t>
  </si>
  <si>
    <t>FBA197CDD6PD</t>
  </si>
  <si>
    <t>2689XSBI</t>
  </si>
  <si>
    <t>LX10211795</t>
  </si>
  <si>
    <t>FBA197C3K0DC</t>
  </si>
  <si>
    <t>2XRZLZ2M</t>
  </si>
  <si>
    <t>YYZ7</t>
  </si>
  <si>
    <t>商业/私人地址 “客户自提” 填写样式</t>
  </si>
  <si>
    <t>LX10211796</t>
  </si>
  <si>
    <t>FBA197C2Y8PF</t>
  </si>
  <si>
    <t>5Y7VNHGQ</t>
  </si>
  <si>
    <t>FBA尾程 “快递派送” 填写样式</t>
  </si>
  <si>
    <t>LX10211797</t>
  </si>
  <si>
    <t>FBA197CD4QP4</t>
  </si>
  <si>
    <t>7YVMLA1M</t>
  </si>
  <si>
    <t>FBA尾程 “卡车派送” 填写样式</t>
  </si>
  <si>
    <t>LX10211798</t>
  </si>
  <si>
    <t>FBA197CLDSQK</t>
  </si>
  <si>
    <t>68HCO8MS</t>
  </si>
  <si>
    <t>数量</t>
  </si>
  <si>
    <t>方数</t>
  </si>
  <si>
    <t>LX10211799</t>
  </si>
  <si>
    <t>FBA197C9Q3DW</t>
  </si>
  <si>
    <t>1OUO2COQ</t>
  </si>
  <si>
    <t>LX10211904</t>
  </si>
  <si>
    <t>FBA197D6C267</t>
  </si>
  <si>
    <t>5NRC4CHN</t>
  </si>
  <si>
    <t>LX10211910</t>
  </si>
  <si>
    <t>FBA197C3RHL4</t>
  </si>
  <si>
    <t>17SCJX2M</t>
  </si>
  <si>
    <t>YYZ4</t>
  </si>
  <si>
    <t>LX10211914</t>
  </si>
  <si>
    <t>FBA197C4G8JC</t>
  </si>
  <si>
    <t>1MRMBPZH</t>
  </si>
  <si>
    <t>YYZ3</t>
  </si>
  <si>
    <t>LX10211915</t>
  </si>
  <si>
    <t>FBA197C2Y7WX</t>
  </si>
  <si>
    <t>8D8M3K7Q</t>
  </si>
  <si>
    <t>YXU1</t>
  </si>
  <si>
    <t>LX10211922</t>
  </si>
  <si>
    <t>FBA19794YY21</t>
  </si>
  <si>
    <t>4DDPVNXD</t>
  </si>
  <si>
    <t>YOW3</t>
  </si>
  <si>
    <t>LX10211926</t>
  </si>
  <si>
    <t>FBA1979CVX82</t>
  </si>
  <si>
    <t>8S2YU4MP</t>
  </si>
  <si>
    <t>YOW1</t>
  </si>
  <si>
    <t>LX10211938</t>
  </si>
  <si>
    <t>FBA197BFF1GF</t>
  </si>
  <si>
    <t>1TUK3S1K</t>
  </si>
  <si>
    <t>YHM1</t>
  </si>
  <si>
    <t>LX10211939</t>
  </si>
  <si>
    <t>FBA1973DM46Z</t>
  </si>
  <si>
    <t>27ZEWPLN</t>
  </si>
  <si>
    <t>LX10205921</t>
  </si>
  <si>
    <t>LX10212480</t>
  </si>
  <si>
    <t>FBA197F4N78D</t>
  </si>
  <si>
    <t>4UARXNKM</t>
  </si>
  <si>
    <t>LX10209285</t>
  </si>
  <si>
    <t>LX10212482</t>
  </si>
  <si>
    <t>FBA197916PPJ</t>
  </si>
  <si>
    <t>3AQQOBGS</t>
  </si>
  <si>
    <t>LX10211625</t>
  </si>
  <si>
    <t>LX10212484</t>
  </si>
  <si>
    <t>FBA197F5TQKQ</t>
  </si>
  <si>
    <t>2QBA3MKI</t>
  </si>
  <si>
    <t>LX10212982</t>
  </si>
  <si>
    <t>LX10212485</t>
  </si>
  <si>
    <t>FBA197F53VK0</t>
  </si>
  <si>
    <t>8JUCVAVI</t>
  </si>
  <si>
    <t>UPS</t>
  </si>
  <si>
    <t>LX10212487</t>
  </si>
  <si>
    <t>FBA197F2VPDZ</t>
  </si>
  <si>
    <t>3RMZXJPC</t>
  </si>
  <si>
    <t>LX10212492</t>
  </si>
  <si>
    <t>FBA197F382XZ</t>
  </si>
  <si>
    <t>37QDB51F</t>
  </si>
  <si>
    <t>LX10212491</t>
  </si>
  <si>
    <t>FBA197FD099C</t>
  </si>
  <si>
    <t>5PAK98OF</t>
  </si>
  <si>
    <t>LX10212494</t>
  </si>
  <si>
    <t>FBA197FBYCBP</t>
  </si>
  <si>
    <t>1MT3A2UV</t>
  </si>
  <si>
    <t>LX10212496</t>
  </si>
  <si>
    <t>FBA197FXX5M1</t>
  </si>
  <si>
    <t>7VVHMNLG</t>
  </si>
  <si>
    <t>LX10212500</t>
  </si>
  <si>
    <t>FBA197F49DPT</t>
  </si>
  <si>
    <t>6L6Z9L4B</t>
  </si>
  <si>
    <t>LX10212501</t>
  </si>
  <si>
    <t>FBA197CC0093</t>
  </si>
  <si>
    <t>39CBPH9C</t>
  </si>
  <si>
    <t>LX10212504</t>
  </si>
  <si>
    <t>FBA197F5ZMM8</t>
  </si>
  <si>
    <t>8ROJ2KWX</t>
  </si>
  <si>
    <t>LX10212731</t>
  </si>
  <si>
    <t>FBA197GVC148</t>
  </si>
  <si>
    <t>3VWWA2VA</t>
  </si>
  <si>
    <t>LX10213018</t>
  </si>
  <si>
    <t>FBA197H5G479</t>
  </si>
  <si>
    <t>5QOCAFTS</t>
  </si>
  <si>
    <t>LX10213021</t>
  </si>
  <si>
    <t>FBA197GYKCFZ</t>
  </si>
  <si>
    <t>8NCX4XIJ</t>
  </si>
  <si>
    <t>LX10213024</t>
  </si>
  <si>
    <t>FBA197GZ2JSX</t>
  </si>
  <si>
    <t>5U7AVLJG</t>
  </si>
  <si>
    <t>LX10213025</t>
  </si>
  <si>
    <t>FBA197GVQWDF</t>
  </si>
  <si>
    <t>6C6LM4KC</t>
  </si>
  <si>
    <t>LX10213026</t>
  </si>
  <si>
    <t>FBA197GVF1S6</t>
  </si>
  <si>
    <t>33J3OM7B</t>
  </si>
  <si>
    <t>LX10213027</t>
  </si>
  <si>
    <t>FBA197GVNGGV</t>
  </si>
  <si>
    <t>1GCJZ19D</t>
  </si>
  <si>
    <t>LX10213030</t>
  </si>
  <si>
    <t>FBA197GR3V1W</t>
  </si>
  <si>
    <t>4RMA8NWA</t>
  </si>
  <si>
    <t>LX10213068</t>
  </si>
  <si>
    <t>FBA197H0HN2Q</t>
  </si>
  <si>
    <t>81ROIEHI</t>
  </si>
  <si>
    <t>LX10213070</t>
  </si>
  <si>
    <t>FBA197FP6Z8V</t>
  </si>
  <si>
    <t>769S884O</t>
  </si>
  <si>
    <t>LX10213073</t>
  </si>
  <si>
    <t>FBA197GC7LNG</t>
  </si>
  <si>
    <t>6J2IHY6S</t>
  </si>
  <si>
    <t>LX10213074</t>
  </si>
  <si>
    <t>FBA197G7HZPW</t>
  </si>
  <si>
    <t>6KUI9OMJ</t>
  </si>
  <si>
    <t>LX10213075</t>
  </si>
  <si>
    <t>FBA197GRVHBV</t>
  </si>
  <si>
    <t>3ARH364P</t>
  </si>
  <si>
    <t>LX10213076</t>
  </si>
  <si>
    <t>FBA197GP10V2</t>
  </si>
  <si>
    <t>5FU2ZGII</t>
  </si>
  <si>
    <t>LX10213078</t>
  </si>
  <si>
    <t>FBA197GF50TK</t>
  </si>
  <si>
    <t>7OQLRCIF</t>
  </si>
  <si>
    <t>LX10213086</t>
  </si>
  <si>
    <t>FBA197FLZZZR</t>
  </si>
  <si>
    <t>35DDJETM</t>
  </si>
  <si>
    <t>LX10213280</t>
  </si>
  <si>
    <t>FBA197HWQMQM</t>
  </si>
  <si>
    <t>2Q6PNP7N</t>
  </si>
  <si>
    <t>LX10213442</t>
  </si>
  <si>
    <t>FBA197HC0V84</t>
  </si>
  <si>
    <t>3M8I7IKZ</t>
  </si>
  <si>
    <t>LX10213443</t>
  </si>
  <si>
    <t>FBA197H9JVZ8</t>
  </si>
  <si>
    <t>8NSFJX1B</t>
  </si>
  <si>
    <t>LX10213444</t>
  </si>
  <si>
    <t>FBA197HR10MV</t>
  </si>
  <si>
    <t>3E6C8ROJ</t>
  </si>
  <si>
    <t>LX10213446</t>
  </si>
  <si>
    <t>FBA197HC594B</t>
  </si>
  <si>
    <t>3SCX46KL</t>
  </si>
  <si>
    <t>LX10213447</t>
  </si>
  <si>
    <t>FBA197HST6MH</t>
  </si>
  <si>
    <t>7V74B8JY</t>
  </si>
  <si>
    <t>LX10213448</t>
  </si>
  <si>
    <t>FBA197GZHX9L</t>
  </si>
  <si>
    <t>8BGIIE9P</t>
  </si>
  <si>
    <t>LX10213454</t>
  </si>
  <si>
    <t>FBA197GVK6VH</t>
  </si>
  <si>
    <t>4ZPE8VGR</t>
  </si>
  <si>
    <t>LX10213503</t>
  </si>
  <si>
    <t>FBA197GY0DPX</t>
  </si>
  <si>
    <t>4APUMVLE</t>
  </si>
  <si>
    <t>LX10213509</t>
  </si>
  <si>
    <t>FBA197GT8304</t>
  </si>
  <si>
    <t>6KNU1M4H</t>
  </si>
  <si>
    <t>LX10213512</t>
  </si>
  <si>
    <t>FBA197H1LDR5</t>
  </si>
  <si>
    <t>691D8ZDP</t>
  </si>
  <si>
    <t>LX10213513</t>
  </si>
  <si>
    <t>FBA197H14HNY</t>
  </si>
  <si>
    <t>2TK8UK1Y</t>
  </si>
  <si>
    <t>LX10213530</t>
  </si>
  <si>
    <t>FBA197J4QFPX</t>
  </si>
  <si>
    <t>8VCWQ8XF</t>
  </si>
  <si>
    <t>LX10213637</t>
  </si>
  <si>
    <t>FBA197HV25SD</t>
  </si>
  <si>
    <t>82HU8YXJ</t>
  </si>
  <si>
    <t>LX10213638</t>
  </si>
  <si>
    <t>FBA197J6G0HF</t>
  </si>
  <si>
    <t>4T2IWL3D</t>
  </si>
  <si>
    <t>LX10213703</t>
  </si>
  <si>
    <t>FBA197HYN8QZ</t>
  </si>
  <si>
    <t>129O7NFI</t>
  </si>
  <si>
    <t>LX10213850</t>
  </si>
  <si>
    <t>FBA197CDJC8V</t>
  </si>
  <si>
    <t>5YUGALYP</t>
  </si>
  <si>
    <t>LX10213880</t>
  </si>
  <si>
    <t>FBA197F6W5JW</t>
  </si>
  <si>
    <t>7XRR21GU</t>
  </si>
  <si>
    <t>LX10213900</t>
  </si>
  <si>
    <t>FBA197HZKWLW</t>
  </si>
  <si>
    <t>13S4QY9J</t>
  </si>
  <si>
    <t>LX10213951</t>
  </si>
  <si>
    <t>FBA197GS8MHS</t>
  </si>
  <si>
    <t>3X14A4ZX</t>
  </si>
  <si>
    <t>LX10213953</t>
  </si>
  <si>
    <t>FBA197H0P2FF</t>
  </si>
  <si>
    <t>5698R7YM</t>
  </si>
  <si>
    <t>LX10213956</t>
  </si>
  <si>
    <t>FBA197J938K1</t>
  </si>
  <si>
    <t>34PR7QRN</t>
  </si>
  <si>
    <t>LX10213958</t>
  </si>
  <si>
    <t>FBA197J8VDKT</t>
  </si>
  <si>
    <t>2YKQW1VY</t>
  </si>
  <si>
    <t>LX10213959</t>
  </si>
  <si>
    <t>FBA197J54BT4</t>
  </si>
  <si>
    <t>1JW9KSLC</t>
  </si>
  <si>
    <t>LX10213963</t>
  </si>
  <si>
    <t>FBA197J63GNT</t>
  </si>
  <si>
    <t>43FSCLMC</t>
  </si>
  <si>
    <t>LX10213968</t>
  </si>
  <si>
    <t>FBA197J88DF7</t>
  </si>
  <si>
    <t>2GVYWGGL</t>
  </si>
  <si>
    <t>LX10213969</t>
  </si>
  <si>
    <t>FBA197J4VZTR</t>
  </si>
  <si>
    <t>8RQZO9KA</t>
  </si>
  <si>
    <t>LX10213972</t>
  </si>
  <si>
    <t>FBA197FJZ78B</t>
  </si>
  <si>
    <t>2XX2PK9Z</t>
  </si>
  <si>
    <t>LX10213974</t>
  </si>
  <si>
    <t>FBA197HS99NK</t>
  </si>
  <si>
    <t>5NAGFG3W</t>
  </si>
  <si>
    <t>LX10213975</t>
  </si>
  <si>
    <t>FBA197HWQGNV</t>
  </si>
  <si>
    <t>65IXUMFI</t>
  </si>
  <si>
    <t>LX10213978</t>
  </si>
  <si>
    <t>FBA197J4QFCL</t>
  </si>
  <si>
    <t>1A3QLJCA</t>
  </si>
  <si>
    <t>LX10214000</t>
  </si>
  <si>
    <t>FBA197J6KP04</t>
  </si>
  <si>
    <t>23HG3SPH</t>
  </si>
  <si>
    <t>LX10211901</t>
  </si>
  <si>
    <t>FBA197D3409J</t>
  </si>
  <si>
    <t>8SEKJLGU</t>
  </si>
  <si>
    <t>LX10212489</t>
  </si>
  <si>
    <t>FBA197FBKWV1</t>
  </si>
  <si>
    <t>4I5VXPTY</t>
  </si>
  <si>
    <t>LX10212490</t>
  </si>
  <si>
    <t>FBA197F2YQ62</t>
  </si>
  <si>
    <t>8SXVOMJF</t>
  </si>
  <si>
    <t>LX10212497</t>
  </si>
  <si>
    <t>FBA197F54HH2</t>
  </si>
  <si>
    <t>361I93VF</t>
  </si>
  <si>
    <t>LX10212503</t>
  </si>
  <si>
    <t>FBA197F8F6SZ</t>
  </si>
  <si>
    <t>2P8I86WZ</t>
  </si>
  <si>
    <t>LX10212505</t>
  </si>
  <si>
    <t>FBA197DVCVLC</t>
  </si>
  <si>
    <t>1VSH15LI</t>
  </si>
  <si>
    <t>LX10212517</t>
  </si>
  <si>
    <t>FBA197GJ3NQ9</t>
  </si>
  <si>
    <t>366K7AHH</t>
  </si>
  <si>
    <t>LX10213072</t>
  </si>
  <si>
    <t>FBA197G9VM42</t>
  </si>
  <si>
    <t>4OG3YGNX</t>
  </si>
  <si>
    <t>LX10213084</t>
  </si>
  <si>
    <t>FBA197GVCCW5</t>
  </si>
  <si>
    <t>3G6QJZUW</t>
  </si>
  <si>
    <t>LX10213087</t>
  </si>
  <si>
    <t>FBA197GHGFHF</t>
  </si>
  <si>
    <t>125VCDMC</t>
  </si>
  <si>
    <t>LX10213445</t>
  </si>
  <si>
    <t>FBA197HT2JS2</t>
  </si>
  <si>
    <t>4NP9ZGXX</t>
  </si>
  <si>
    <t>LX10213452</t>
  </si>
  <si>
    <t>FBA197H6SVHX</t>
  </si>
  <si>
    <t>6MMZKPOU</t>
  </si>
  <si>
    <t>LX10213505</t>
  </si>
  <si>
    <t>FBA197J2H4L9</t>
  </si>
  <si>
    <t>2ACF8XUS</t>
  </si>
  <si>
    <t>LX10213506</t>
  </si>
  <si>
    <t>FBA197H1N16P</t>
  </si>
  <si>
    <t>1Q8WMP2Z</t>
  </si>
  <si>
    <t>LX10213511</t>
  </si>
  <si>
    <t>FBA197H25XT9</t>
  </si>
  <si>
    <t>6F598MSQ</t>
  </si>
  <si>
    <t>LX10213514</t>
  </si>
  <si>
    <t>FBA197H2H1XF</t>
  </si>
  <si>
    <t>4EOFGFXH</t>
  </si>
  <si>
    <t>LX10213745</t>
  </si>
  <si>
    <t>FBA197J0LLY3</t>
  </si>
  <si>
    <t>2U4QK8YF</t>
  </si>
  <si>
    <t>LX10213857</t>
  </si>
  <si>
    <t>FBA197H788DG</t>
  </si>
  <si>
    <t>6TRA7X9S</t>
  </si>
  <si>
    <t>FBA197JBJVF3</t>
  </si>
  <si>
    <t>5OE2EKOY</t>
  </si>
  <si>
    <t>LX10213922</t>
  </si>
  <si>
    <t>FBA197J7YRNY</t>
  </si>
  <si>
    <t>6XPUC9SR</t>
  </si>
  <si>
    <t>LX10213952</t>
  </si>
  <si>
    <t>FBA197J2DYKX</t>
  </si>
  <si>
    <t>2XGUVMIZ</t>
  </si>
  <si>
    <t>LX10213955</t>
  </si>
  <si>
    <t>FBA197GQP1YW</t>
  </si>
  <si>
    <t>543RHS7X</t>
  </si>
  <si>
    <t>LX10214010</t>
  </si>
  <si>
    <t>FBA197JDMC79</t>
  </si>
  <si>
    <t>2BUGYKSZ</t>
  </si>
  <si>
    <t>LX10214031</t>
  </si>
  <si>
    <t>FBA197JDCL0W</t>
  </si>
  <si>
    <t>4T2NZWRU</t>
  </si>
  <si>
    <t>LX10211800</t>
  </si>
  <si>
    <t>FBA197C00VBK</t>
  </si>
  <si>
    <t>5VWNXBND</t>
  </si>
  <si>
    <t>LX10213451</t>
  </si>
  <si>
    <t>FBA197HRL5W6</t>
  </si>
  <si>
    <t>52BUUV3Y</t>
  </si>
  <si>
    <t>LX10211908</t>
  </si>
  <si>
    <t>FBA1979Z62JP</t>
  </si>
  <si>
    <t>5ZJXJTQF</t>
  </si>
  <si>
    <t>LX10212306</t>
  </si>
  <si>
    <t>FBA197CRT5TH</t>
  </si>
  <si>
    <t>4XW4TH7J</t>
  </si>
  <si>
    <t>LX10212488</t>
  </si>
  <si>
    <t>FBA197FDY7TL</t>
  </si>
  <si>
    <t>5EBD9MOX</t>
  </si>
  <si>
    <t>LX10212729</t>
  </si>
  <si>
    <t>FBA197GKZWRF</t>
  </si>
  <si>
    <t>8W922Z9O</t>
  </si>
  <si>
    <t>LX10212944</t>
  </si>
  <si>
    <t>FBA197H1BXF7</t>
  </si>
  <si>
    <t>65GY5NLU</t>
  </si>
  <si>
    <t>LX10213083</t>
  </si>
  <si>
    <t>FBA197GVNJSG</t>
  </si>
  <si>
    <t>1BV5TJGQ</t>
  </si>
  <si>
    <t>LX10213960</t>
  </si>
  <si>
    <t>FBA197J6N9GY</t>
  </si>
  <si>
    <t>3MSNLM7O</t>
  </si>
  <si>
    <t>LX10213979</t>
  </si>
  <si>
    <t>FBA197J3T0R7</t>
  </si>
  <si>
    <t>4ZOS66JZ</t>
  </si>
  <si>
    <t>LX10211794</t>
  </si>
  <si>
    <t>FBA197F0GJZC</t>
  </si>
  <si>
    <t>2JCYTIUV</t>
  </si>
  <si>
    <t>LX10211999</t>
  </si>
  <si>
    <t>FBA197FL4PX0</t>
  </si>
  <si>
    <t>3YHZ93GY</t>
  </si>
  <si>
    <t>LX10212483</t>
  </si>
  <si>
    <t>FBA197F83DBX</t>
  </si>
  <si>
    <t>1E34LG1I</t>
  </si>
  <si>
    <t>LX10212498</t>
  </si>
  <si>
    <t>FBA197G7C363</t>
  </si>
  <si>
    <t>25HP6BLS</t>
  </si>
  <si>
    <t>LX10212499</t>
  </si>
  <si>
    <t>FBA197FCW7FF</t>
  </si>
  <si>
    <t>6FDMODXA</t>
  </si>
  <si>
    <t>LX10212920</t>
  </si>
  <si>
    <t>FBA197D9B715</t>
  </si>
  <si>
    <t>58Q81OLR</t>
  </si>
  <si>
    <t>LX10213022</t>
  </si>
  <si>
    <t>FBA197GW4BT4</t>
  </si>
  <si>
    <t>5OTN5SIG</t>
  </si>
  <si>
    <t>LX10213384</t>
  </si>
  <si>
    <t>FBA197J0YJBF</t>
  </si>
  <si>
    <t>3RD7GSBS</t>
  </si>
  <si>
    <t>LX10213441</t>
  </si>
  <si>
    <t>FBA197HCYPRT</t>
  </si>
  <si>
    <t>52SOOUCE</t>
  </si>
  <si>
    <t>LX10213508</t>
  </si>
  <si>
    <t>FBA197H3TC0N</t>
  </si>
  <si>
    <t>2IH4DICA</t>
  </si>
  <si>
    <t>LX10213515</t>
  </si>
  <si>
    <t>FBA197GX0DJ4</t>
  </si>
  <si>
    <t>7177R3IC</t>
  </si>
  <si>
    <t>LX10213664</t>
  </si>
  <si>
    <t>FBA197GJC5RT</t>
  </si>
  <si>
    <t>8BGYSJOM</t>
  </si>
  <si>
    <t>LX10213821</t>
  </si>
  <si>
    <t>FBA197JBFXTQ</t>
  </si>
  <si>
    <t>128Y1R7X</t>
  </si>
  <si>
    <t>FBA197JD42TT</t>
  </si>
  <si>
    <t>22X3S8NN</t>
  </si>
  <si>
    <t>LX10213954</t>
  </si>
  <si>
    <t>FBA197H2H192</t>
  </si>
  <si>
    <t>167JP3BN</t>
  </si>
  <si>
    <t>LX10212956</t>
  </si>
  <si>
    <t>FBA197GKM608</t>
  </si>
  <si>
    <t>3VFOBMJE</t>
  </si>
  <si>
    <t>LX10211729</t>
  </si>
  <si>
    <t>FBA197F60T00</t>
  </si>
  <si>
    <t>4AYO897C</t>
  </si>
  <si>
    <t>LX10211801</t>
  </si>
  <si>
    <t>FBA197C4V5VD</t>
  </si>
  <si>
    <t>1NI7V5PA</t>
  </si>
  <si>
    <t>LX10211905</t>
  </si>
  <si>
    <t>FBA197C0L5VS</t>
  </si>
  <si>
    <t>4LPOEKOG</t>
  </si>
  <si>
    <t>LX10212493</t>
  </si>
  <si>
    <t>FBA197F6FWBT</t>
  </si>
  <si>
    <t>8PTG49PR</t>
  </si>
  <si>
    <t>LX10212698</t>
  </si>
  <si>
    <t>FBA1972R6QHJ</t>
  </si>
  <si>
    <t>4F7494UC</t>
  </si>
  <si>
    <t>LX10213071</t>
  </si>
  <si>
    <t>FBA197GVM2N3</t>
  </si>
  <si>
    <t>8MJT9BLN</t>
  </si>
  <si>
    <t>LX10213077</t>
  </si>
  <si>
    <t>FBA197GC3B24</t>
  </si>
  <si>
    <t>8S1BUP6P</t>
  </si>
  <si>
    <t>LX10213085</t>
  </si>
  <si>
    <t>FBA197F8ZQ47</t>
  </si>
  <si>
    <t>87MTRQTU</t>
  </si>
  <si>
    <t>LX10213089</t>
  </si>
  <si>
    <t>FBA197GC2F3P</t>
  </si>
  <si>
    <t>46EAEMDS</t>
  </si>
  <si>
    <t>LX10213105</t>
  </si>
  <si>
    <t>FBA197H5Z0NG</t>
  </si>
  <si>
    <t>844RUCSQ</t>
  </si>
  <si>
    <t>LX10213417</t>
  </si>
  <si>
    <t>FBA197H3K2P6</t>
  </si>
  <si>
    <t>4J4MZHHB</t>
  </si>
  <si>
    <t>LX10213449</t>
  </si>
  <si>
    <t>FBA197H1MVWJ</t>
  </si>
  <si>
    <t>8MU3S12Z</t>
  </si>
  <si>
    <t>LX10213453</t>
  </si>
  <si>
    <t>FBA197GDMGC4</t>
  </si>
  <si>
    <t>21ZLTDSG</t>
  </si>
  <si>
    <t>LX10213459</t>
  </si>
  <si>
    <t>FBA197H0HQ3Y</t>
  </si>
  <si>
    <t>6NHL42MG</t>
  </si>
  <si>
    <t>LX10213475</t>
  </si>
  <si>
    <t>FBA197HBTSWR</t>
  </si>
  <si>
    <t>2EB7BJ8T</t>
  </si>
  <si>
    <t>LX10213502</t>
  </si>
  <si>
    <t>FBA197GR2RZ2</t>
  </si>
  <si>
    <t>89WA6C2P</t>
  </si>
  <si>
    <t>LX10213620</t>
  </si>
  <si>
    <t>FBA197J5CKR2</t>
  </si>
  <si>
    <t>3E76CGMC</t>
  </si>
  <si>
    <t>LX10213645</t>
  </si>
  <si>
    <t>FBA1979PG6B4</t>
  </si>
  <si>
    <t>8HFVP31U</t>
  </si>
  <si>
    <t>LX10213717</t>
  </si>
  <si>
    <t>FBA197J04GY1</t>
  </si>
  <si>
    <t>4CHAAA4E</t>
  </si>
  <si>
    <t>LX10213819</t>
  </si>
  <si>
    <t>FBA197HBMMGK</t>
  </si>
  <si>
    <t>74Z3E7DC</t>
  </si>
  <si>
    <t>LX10213842</t>
  </si>
  <si>
    <t>FBA197GZ46QL</t>
  </si>
  <si>
    <t>2ENNNTXG</t>
  </si>
  <si>
    <t>LX10213848</t>
  </si>
  <si>
    <t>FBA197GVHYJ4</t>
  </si>
  <si>
    <t>6KZOZFPG</t>
  </si>
  <si>
    <t>LX10213851</t>
  </si>
  <si>
    <t>FBA197F89P6K</t>
  </si>
  <si>
    <t>7SMYB4SA</t>
  </si>
  <si>
    <t>LX10213918</t>
  </si>
  <si>
    <t>FBA197FB7KRG</t>
  </si>
  <si>
    <t>5ED7KHMY</t>
  </si>
  <si>
    <t>LX10213961</t>
  </si>
  <si>
    <t>FBA197GZXJN6</t>
  </si>
  <si>
    <t>3FQYGB6A</t>
  </si>
  <si>
    <t>LX10213962</t>
  </si>
  <si>
    <t>FBA1979MMF13</t>
  </si>
  <si>
    <t>4G26LCUT</t>
  </si>
  <si>
    <t>LX10213964</t>
  </si>
  <si>
    <t>FBA197J8F77R</t>
  </si>
  <si>
    <t>39Z8WWWC</t>
  </si>
  <si>
    <t>LX10213971</t>
  </si>
  <si>
    <t>FBA197J6VSDB</t>
  </si>
  <si>
    <t>7XECF1PL</t>
  </si>
  <si>
    <t>LX10213985</t>
  </si>
  <si>
    <t>FBA197JFNF66</t>
  </si>
  <si>
    <t>87KRIHOT</t>
  </si>
  <si>
    <t>LX10214002</t>
  </si>
  <si>
    <t>FBA197H1NQXL</t>
  </si>
  <si>
    <t>5O5X86BI</t>
  </si>
  <si>
    <t>LX10214030</t>
  </si>
  <si>
    <t>FBA197J516X8</t>
  </si>
  <si>
    <t>3NFQS7OF</t>
  </si>
  <si>
    <t>LX10214075</t>
  </si>
  <si>
    <t>FBA197JGSB5H</t>
  </si>
  <si>
    <t>5OPXOBUR</t>
  </si>
  <si>
    <t>PA/PU-1</t>
  </si>
  <si>
    <t>客户自提</t>
  </si>
  <si>
    <t>Julianna Li</t>
  </si>
  <si>
    <t>PA/PU-2</t>
  </si>
  <si>
    <t>TOMAURI</t>
  </si>
  <si>
    <t>PA/PU-3</t>
  </si>
  <si>
    <t>PA/PU-4</t>
  </si>
  <si>
    <t>LX10212507</t>
  </si>
  <si>
    <t>FBA197F0F9ZY</t>
  </si>
  <si>
    <t>3BY5YVNH</t>
  </si>
  <si>
    <t>快递派送</t>
  </si>
  <si>
    <t>1ZHF67092002656065</t>
  </si>
  <si>
    <t>LX10211603</t>
  </si>
  <si>
    <t>1ZHF67092002855920</t>
  </si>
  <si>
    <t>LX10211766</t>
  </si>
  <si>
    <t>FBA197FB9XBS</t>
  </si>
  <si>
    <t>7HDMV61X</t>
  </si>
  <si>
    <t>1ZHF67092008900388</t>
  </si>
  <si>
    <t>LX10212529</t>
  </si>
  <si>
    <t>FBA197FQWLB4</t>
  </si>
  <si>
    <t>4UKNNO5E</t>
  </si>
  <si>
    <t>1ZHF67092015405481</t>
  </si>
  <si>
    <t>LX10213916</t>
  </si>
  <si>
    <t>FBA197HSWKXR</t>
  </si>
  <si>
    <t>2BL56KSS</t>
  </si>
  <si>
    <t>1ZHF67092018444335</t>
  </si>
  <si>
    <t>LX10213690</t>
  </si>
  <si>
    <t>1ZHF67092021785309</t>
  </si>
  <si>
    <t>LX10213917</t>
  </si>
  <si>
    <t>FBA197HS47PR</t>
  </si>
  <si>
    <t>33X25SQL</t>
  </si>
  <si>
    <t>1ZHF67092030094066</t>
  </si>
  <si>
    <t>LX10213911</t>
  </si>
  <si>
    <t>FBA197CFQH21</t>
  </si>
  <si>
    <t>1AFCRFWV</t>
  </si>
  <si>
    <t>1ZHF67092038294737</t>
  </si>
  <si>
    <t>海外存仓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</si>
</sst>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0_ "/>
    <numFmt numFmtId="178" formatCode="_ * #,##0.0_ ;_ * \-#,##0.0_ ;_ * &quot;-&quot;??_ ;_ @_ "/>
    <numFmt numFmtId="179" formatCode="0.0_);[Red]\(0.0\)"/>
  </numFmts>
  <fonts count="36">
    <font>
      <sz val="11"/>
      <color theme="1"/>
      <name val="Arial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Arial"/>
      <charset val="134"/>
      <scheme val="minor"/>
    </font>
    <font>
      <b/>
      <sz val="10"/>
      <color theme="0"/>
      <name val="微软雅黑"/>
      <charset val="134"/>
    </font>
    <font>
      <sz val="12"/>
      <name val="宋体"/>
      <charset val="134"/>
    </font>
    <font>
      <b/>
      <sz val="11"/>
      <color rgb="FFFF0000"/>
      <name val="微软雅黑"/>
      <charset val="134"/>
    </font>
    <font>
      <sz val="12"/>
      <color theme="1"/>
      <name val="Arial"/>
      <charset val="134"/>
      <scheme val="minor"/>
    </font>
    <font>
      <sz val="10"/>
      <name val="微软雅黑"/>
      <charset val="134"/>
    </font>
    <font>
      <sz val="10"/>
      <color theme="1"/>
      <name val="宋体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u/>
      <sz val="11"/>
      <color rgb="FFFF0000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Arial"/>
      <charset val="134"/>
    </font>
    <font>
      <sz val="11"/>
      <color rgb="FFFF0000"/>
      <name val="等线"/>
      <charset val="134"/>
    </font>
    <font>
      <b/>
      <u/>
      <sz val="11"/>
      <color rgb="FF0070C0"/>
      <name val="微软雅黑"/>
      <charset val="134"/>
    </font>
    <font>
      <b/>
      <u/>
      <sz val="11"/>
      <color rgb="FF0070C0"/>
      <name val="Arial"/>
      <charset val="134"/>
      <scheme val="minor"/>
    </font>
    <font>
      <sz val="11"/>
      <color rgb="FF0070C0"/>
      <name val="Arial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BA7B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51170384838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4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5" borderId="6" applyNumberFormat="0" applyAlignment="0" applyProtection="0">
      <alignment vertical="center"/>
    </xf>
    <xf numFmtId="0" fontId="19" fillId="16" borderId="7" applyNumberFormat="0" applyAlignment="0" applyProtection="0">
      <alignment vertical="center"/>
    </xf>
    <xf numFmtId="0" fontId="20" fillId="16" borderId="6" applyNumberFormat="0" applyAlignment="0" applyProtection="0">
      <alignment vertical="center"/>
    </xf>
    <xf numFmtId="0" fontId="21" fillId="17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0" fillId="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0" fillId="44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176" fontId="2" fillId="0" borderId="0" xfId="1" applyNumberFormat="1" applyFont="1">
      <alignment vertical="center"/>
    </xf>
    <xf numFmtId="0" fontId="2" fillId="0" borderId="0" xfId="0" applyFont="1">
      <alignment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1" applyNumberFormat="1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46" applyFont="1" applyBorder="1" applyAlignment="1">
      <alignment horizontal="left" vertical="top" wrapText="1"/>
    </xf>
    <xf numFmtId="0" fontId="3" fillId="2" borderId="0" xfId="46" applyFont="1" applyBorder="1" applyAlignment="1">
      <alignment vertical="top" wrapText="1"/>
    </xf>
    <xf numFmtId="176" fontId="4" fillId="3" borderId="2" xfId="1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77" fontId="4" fillId="3" borderId="2" xfId="0" applyNumberFormat="1" applyFont="1" applyFill="1" applyBorder="1" applyAlignment="1">
      <alignment horizontal="center" vertical="center"/>
    </xf>
    <xf numFmtId="178" fontId="4" fillId="3" borderId="2" xfId="1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79" fontId="4" fillId="3" borderId="2" xfId="1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7" fillId="5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7" borderId="2" xfId="0" applyNumberFormat="1" applyFont="1" applyFill="1" applyBorder="1" applyAlignment="1">
      <alignment horizontal="center" vertical="center"/>
    </xf>
    <xf numFmtId="0" fontId="7" fillId="8" borderId="2" xfId="0" applyNumberFormat="1" applyFont="1" applyFill="1" applyBorder="1" applyAlignment="1">
      <alignment horizontal="center" vertical="center"/>
    </xf>
    <xf numFmtId="0" fontId="7" fillId="9" borderId="2" xfId="0" applyNumberFormat="1" applyFont="1" applyFill="1" applyBorder="1" applyAlignment="1">
      <alignment horizontal="center" vertical="center"/>
    </xf>
    <xf numFmtId="0" fontId="7" fillId="10" borderId="2" xfId="0" applyNumberFormat="1" applyFont="1" applyFill="1" applyBorder="1" applyAlignment="1">
      <alignment horizontal="center" vertical="center"/>
    </xf>
    <xf numFmtId="0" fontId="7" fillId="11" borderId="2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7" fillId="0" borderId="2" xfId="0" applyNumberFormat="1" applyFont="1" applyFill="1" applyBorder="1" applyAlignment="1">
      <alignment horizontal="center" vertical="center"/>
    </xf>
    <xf numFmtId="0" fontId="1" fillId="0" borderId="0" xfId="0" applyFont="1" applyBorder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5" fillId="12" borderId="2" xfId="0" applyNumberFormat="1" applyFont="1" applyFill="1" applyBorder="1" applyAlignment="1">
      <alignment horizontal="center" vertical="center"/>
    </xf>
    <xf numFmtId="176" fontId="1" fillId="0" borderId="2" xfId="1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178" fontId="1" fillId="0" borderId="2" xfId="1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Accent6 2" xfId="49"/>
    <cellStyle name="Normal 2" xfId="50"/>
  </cellStyles>
  <dxfs count="22">
    <dxf>
      <fill>
        <patternFill patternType="solid">
          <bgColor theme="7" tint="0.6"/>
        </patternFill>
      </fill>
    </dxf>
    <dxf>
      <fill>
        <patternFill patternType="solid">
          <bgColor rgb="FFFA8C96"/>
        </patternFill>
      </fill>
    </dxf>
    <dxf>
      <fill>
        <patternFill patternType="solid">
          <bgColor rgb="FFDDC0FC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rgb="FFF5A409"/>
        </patternFill>
      </fill>
    </dxf>
    <dxf>
      <fill>
        <patternFill patternType="solid">
          <bgColor rgb="FFEF642E"/>
        </patternFill>
      </fill>
    </dxf>
    <dxf>
      <fill>
        <patternFill patternType="solid">
          <bgColor theme="5" tint="0.4"/>
        </patternFill>
      </fill>
    </dxf>
    <dxf>
      <fill>
        <patternFill patternType="solid">
          <bgColor rgb="FFB4DF5A"/>
        </patternFill>
      </fill>
    </dxf>
    <dxf>
      <fill>
        <patternFill patternType="solid">
          <bgColor theme="4" tint="0.6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A0DC"/>
        </patternFill>
      </fill>
    </dxf>
    <dxf>
      <fill>
        <patternFill patternType="solid">
          <bgColor theme="0" tint="-0.05"/>
        </patternFill>
      </fill>
    </dxf>
    <dxf>
      <fill>
        <patternFill patternType="solid">
          <bgColor theme="6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0" tint="-0.35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EF642E"/>
      <color rgb="00F6CC08"/>
      <color rgb="00F5A409"/>
      <color rgb="00FCAADC"/>
      <color rgb="00FABEFA"/>
      <color rgb="00DDC0FC"/>
      <color rgb="00FA8C96"/>
      <color rgb="00EAF3B0"/>
      <color rgb="00EBEEBF"/>
      <color rgb="00D8E3A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showGridLines="0" tabSelected="1" zoomScale="70" zoomScaleNormal="70" zoomScaleSheetLayoutView="80" workbookViewId="0">
      <pane ySplit="2" topLeftCell="A159" activePane="bottomLeft" state="frozen"/>
      <selection/>
      <selection pane="bottomLeft" activeCell="A163" sqref="A160:A163"/>
    </sheetView>
  </sheetViews>
  <sheetFormatPr defaultColWidth="19.1" defaultRowHeight="16.5"/>
  <cols>
    <col min="1" max="1" width="24" style="3" customWidth="1"/>
    <col min="2" max="2" width="24" style="4" customWidth="1"/>
    <col min="3" max="3" width="16.6" style="4" customWidth="1"/>
    <col min="4" max="4" width="16.6" style="5" customWidth="1"/>
    <col min="5" max="6" width="16.6" style="6" customWidth="1"/>
    <col min="7" max="8" width="16.6" style="4" customWidth="1"/>
    <col min="9" max="9" width="29.1" style="4" customWidth="1"/>
    <col min="10" max="10" width="22.3" style="4" customWidth="1"/>
    <col min="11" max="11" width="32.6" style="7" customWidth="1"/>
    <col min="12" max="16384" width="19.1" style="4"/>
  </cols>
  <sheetData>
    <row r="1" ht="121.5" customHeight="1" spans="1:13">
      <c r="A1" s="8" t="s">
        <v>0</v>
      </c>
      <c r="B1" s="8"/>
      <c r="C1" s="8"/>
      <c r="D1" s="8"/>
      <c r="E1" s="8"/>
      <c r="F1" s="8"/>
      <c r="G1" s="8"/>
      <c r="H1" s="9"/>
      <c r="I1" s="9"/>
      <c r="J1" s="9"/>
    </row>
    <row r="2" spans="1:13">
      <c r="A2" s="10" t="s">
        <v>1</v>
      </c>
      <c r="B2" s="11" t="s">
        <v>2</v>
      </c>
      <c r="C2" s="11" t="s">
        <v>3</v>
      </c>
      <c r="D2" s="12" t="s">
        <v>4</v>
      </c>
      <c r="E2" s="13" t="s">
        <v>5</v>
      </c>
      <c r="F2" s="13" t="s">
        <v>6</v>
      </c>
      <c r="G2" s="14" t="s">
        <v>7</v>
      </c>
      <c r="H2" s="14" t="s">
        <v>8</v>
      </c>
      <c r="I2" s="15" t="s">
        <v>9</v>
      </c>
      <c r="J2" s="15" t="s">
        <v>10</v>
      </c>
    </row>
    <row r="3" s="2" customFormat="1" ht="22.2" customHeight="1" spans="1:13">
      <c r="A3" s="16" t="s">
        <v>11</v>
      </c>
      <c r="B3" s="16" t="s">
        <v>12</v>
      </c>
      <c r="C3" s="16" t="s">
        <v>13</v>
      </c>
      <c r="D3" s="16">
        <v>7</v>
      </c>
      <c r="E3" s="16">
        <v>130.46</v>
      </c>
      <c r="F3" s="16">
        <v>0.797</v>
      </c>
      <c r="G3" s="16" t="s">
        <v>14</v>
      </c>
      <c r="H3" s="16" t="s">
        <v>15</v>
      </c>
      <c r="I3" s="16" t="s">
        <v>16</v>
      </c>
      <c r="J3" s="17"/>
      <c r="K3" s="18" t="s">
        <v>17</v>
      </c>
    </row>
    <row r="4" s="2" customFormat="1" ht="22.2" customHeight="1" spans="1:13">
      <c r="A4" s="16" t="s">
        <v>18</v>
      </c>
      <c r="B4" s="16" t="s">
        <v>19</v>
      </c>
      <c r="C4" s="16" t="s">
        <v>20</v>
      </c>
      <c r="D4" s="16">
        <v>40</v>
      </c>
      <c r="E4" s="16">
        <v>619</v>
      </c>
      <c r="F4" s="16">
        <v>4.332</v>
      </c>
      <c r="G4" s="16" t="s">
        <v>14</v>
      </c>
      <c r="H4" s="16" t="s">
        <v>15</v>
      </c>
      <c r="I4" s="16" t="s">
        <v>16</v>
      </c>
      <c r="J4" s="17"/>
      <c r="K4" s="18" t="s">
        <v>17</v>
      </c>
    </row>
    <row r="5" s="2" customFormat="1" ht="22.2" customHeight="1" spans="1:13">
      <c r="A5" s="16" t="s">
        <v>21</v>
      </c>
      <c r="B5" s="16" t="s">
        <v>22</v>
      </c>
      <c r="C5" s="16" t="s">
        <v>23</v>
      </c>
      <c r="D5" s="16">
        <v>1</v>
      </c>
      <c r="E5" s="16">
        <v>21.95</v>
      </c>
      <c r="F5" s="16">
        <v>0.125</v>
      </c>
      <c r="G5" s="16" t="s">
        <v>24</v>
      </c>
      <c r="H5" s="16" t="s">
        <v>15</v>
      </c>
      <c r="I5" s="16" t="s">
        <v>16</v>
      </c>
      <c r="J5" s="17"/>
      <c r="K5" s="18" t="s">
        <v>25</v>
      </c>
    </row>
    <row r="6" s="2" customFormat="1" ht="22.2" customHeight="1" spans="1:13">
      <c r="A6" s="16" t="s">
        <v>26</v>
      </c>
      <c r="B6" s="16" t="s">
        <v>27</v>
      </c>
      <c r="C6" s="16" t="s">
        <v>28</v>
      </c>
      <c r="D6" s="16">
        <v>1</v>
      </c>
      <c r="E6" s="16">
        <v>21.9</v>
      </c>
      <c r="F6" s="16">
        <v>0.121</v>
      </c>
      <c r="G6" s="16" t="s">
        <v>24</v>
      </c>
      <c r="H6" s="16" t="s">
        <v>15</v>
      </c>
      <c r="I6" s="16" t="s">
        <v>16</v>
      </c>
      <c r="J6" s="17"/>
      <c r="K6" s="19" t="s">
        <v>29</v>
      </c>
    </row>
    <row r="7" s="2" customFormat="1" ht="22.2" customHeight="1" spans="1:13">
      <c r="A7" s="16" t="s">
        <v>30</v>
      </c>
      <c r="B7" s="16" t="s">
        <v>31</v>
      </c>
      <c r="C7" s="16" t="s">
        <v>32</v>
      </c>
      <c r="D7" s="16">
        <v>4</v>
      </c>
      <c r="E7" s="16">
        <v>71.35</v>
      </c>
      <c r="F7" s="16">
        <v>0.357</v>
      </c>
      <c r="G7" s="16" t="s">
        <v>24</v>
      </c>
      <c r="H7" s="16" t="s">
        <v>15</v>
      </c>
      <c r="I7" s="16" t="s">
        <v>16</v>
      </c>
      <c r="J7" s="17"/>
      <c r="K7" s="19" t="s">
        <v>33</v>
      </c>
    </row>
    <row r="8" s="2" customFormat="1" ht="22.2" customHeight="1" spans="1:13">
      <c r="A8" s="16" t="s">
        <v>34</v>
      </c>
      <c r="B8" s="16" t="s">
        <v>35</v>
      </c>
      <c r="C8" s="16" t="s">
        <v>36</v>
      </c>
      <c r="D8" s="16">
        <v>2</v>
      </c>
      <c r="E8" s="16">
        <v>26.14</v>
      </c>
      <c r="F8" s="16">
        <v>0.117</v>
      </c>
      <c r="G8" s="16" t="s">
        <v>24</v>
      </c>
      <c r="H8" s="16" t="s">
        <v>15</v>
      </c>
      <c r="I8" s="16" t="s">
        <v>16</v>
      </c>
      <c r="J8" s="17"/>
      <c r="K8" s="19" t="s">
        <v>33</v>
      </c>
      <c r="L8" s="2" t="s">
        <v>37</v>
      </c>
      <c r="M8" s="2" t="s">
        <v>38</v>
      </c>
    </row>
    <row r="9" s="2" customFormat="1" ht="22.2" customHeight="1" spans="1:13">
      <c r="A9" s="16" t="s">
        <v>39</v>
      </c>
      <c r="B9" s="16" t="s">
        <v>40</v>
      </c>
      <c r="C9" s="16" t="s">
        <v>41</v>
      </c>
      <c r="D9" s="16">
        <v>4</v>
      </c>
      <c r="E9" s="16">
        <v>75.65</v>
      </c>
      <c r="F9" s="16">
        <v>0.536</v>
      </c>
      <c r="G9" s="16" t="s">
        <v>24</v>
      </c>
      <c r="H9" s="16" t="s">
        <v>15</v>
      </c>
      <c r="I9" s="16" t="s">
        <v>16</v>
      </c>
      <c r="J9" s="17"/>
      <c r="K9" s="20" t="s">
        <v>14</v>
      </c>
      <c r="L9" s="21">
        <f>SUMIF($G:$G,K9,$D:$D)</f>
        <v>47</v>
      </c>
      <c r="M9" s="21">
        <f>SUMIF($G:$G,K9,F:F)</f>
        <v>5.129</v>
      </c>
    </row>
    <row r="10" s="2" customFormat="1" ht="22.2" customHeight="1" spans="1:13">
      <c r="A10" s="16" t="s">
        <v>42</v>
      </c>
      <c r="B10" s="16" t="s">
        <v>43</v>
      </c>
      <c r="C10" s="16" t="s">
        <v>44</v>
      </c>
      <c r="D10" s="16">
        <v>3</v>
      </c>
      <c r="E10" s="16">
        <v>65.5</v>
      </c>
      <c r="F10" s="16">
        <v>0.387</v>
      </c>
      <c r="G10" s="16" t="s">
        <v>24</v>
      </c>
      <c r="H10" s="16" t="s">
        <v>15</v>
      </c>
      <c r="I10" s="16" t="s">
        <v>16</v>
      </c>
      <c r="J10" s="17"/>
      <c r="K10" s="22" t="s">
        <v>24</v>
      </c>
      <c r="L10" s="21">
        <f t="shared" ref="L10:L27" si="0">SUMIF($G:$G,K10,$D:$D)</f>
        <v>272</v>
      </c>
      <c r="M10" s="21">
        <f>SUMIF($G:$G,K10,F:F)</f>
        <v>27.134</v>
      </c>
    </row>
    <row r="11" s="2" customFormat="1" ht="22.2" customHeight="1" spans="1:13">
      <c r="A11" s="16" t="s">
        <v>45</v>
      </c>
      <c r="B11" s="16" t="s">
        <v>46</v>
      </c>
      <c r="C11" s="16" t="s">
        <v>47</v>
      </c>
      <c r="D11" s="16">
        <v>3</v>
      </c>
      <c r="E11" s="16">
        <v>48.46</v>
      </c>
      <c r="F11" s="16">
        <v>0.343</v>
      </c>
      <c r="G11" s="16" t="s">
        <v>24</v>
      </c>
      <c r="H11" s="16" t="s">
        <v>15</v>
      </c>
      <c r="I11" s="16" t="s">
        <v>16</v>
      </c>
      <c r="J11" s="17"/>
      <c r="K11" s="23" t="s">
        <v>48</v>
      </c>
      <c r="L11" s="21">
        <f t="shared" si="0"/>
        <v>82</v>
      </c>
      <c r="M11" s="21">
        <f>SUMIF($G:$G,K11,F:F)</f>
        <v>7.889</v>
      </c>
    </row>
    <row r="12" s="2" customFormat="1" ht="22.2" customHeight="1" spans="1:13">
      <c r="A12" s="16" t="s">
        <v>49</v>
      </c>
      <c r="B12" s="16" t="s">
        <v>50</v>
      </c>
      <c r="C12" s="16" t="s">
        <v>51</v>
      </c>
      <c r="D12" s="16">
        <v>4</v>
      </c>
      <c r="E12" s="16">
        <v>79.7</v>
      </c>
      <c r="F12" s="16">
        <v>0.44</v>
      </c>
      <c r="G12" s="16" t="s">
        <v>24</v>
      </c>
      <c r="H12" s="16" t="s">
        <v>15</v>
      </c>
      <c r="I12" s="16" t="s">
        <v>16</v>
      </c>
      <c r="J12" s="17"/>
      <c r="K12" s="24" t="s">
        <v>52</v>
      </c>
      <c r="L12" s="21">
        <f t="shared" si="0"/>
        <v>55</v>
      </c>
      <c r="M12" s="21">
        <f>SUMIF($G:$G,K12,F:F)</f>
        <v>6.953</v>
      </c>
    </row>
    <row r="13" s="2" customFormat="1" ht="22.2" customHeight="1" spans="1:13">
      <c r="A13" s="16" t="s">
        <v>53</v>
      </c>
      <c r="B13" s="16" t="s">
        <v>54</v>
      </c>
      <c r="C13" s="16" t="s">
        <v>55</v>
      </c>
      <c r="D13" s="16">
        <v>3</v>
      </c>
      <c r="E13" s="16">
        <v>65.81</v>
      </c>
      <c r="F13" s="16">
        <v>0.38</v>
      </c>
      <c r="G13" s="16" t="s">
        <v>24</v>
      </c>
      <c r="H13" s="16" t="s">
        <v>15</v>
      </c>
      <c r="I13" s="16" t="s">
        <v>16</v>
      </c>
      <c r="J13" s="17"/>
      <c r="K13" s="25" t="s">
        <v>56</v>
      </c>
      <c r="L13" s="21">
        <f t="shared" si="0"/>
        <v>43</v>
      </c>
      <c r="M13" s="21">
        <f>SUMIF($G:$G,K13,F:F)</f>
        <v>4.208</v>
      </c>
    </row>
    <row r="14" s="2" customFormat="1" ht="22.2" customHeight="1" spans="1:13">
      <c r="A14" s="16" t="s">
        <v>57</v>
      </c>
      <c r="B14" s="16" t="s">
        <v>58</v>
      </c>
      <c r="C14" s="16" t="s">
        <v>59</v>
      </c>
      <c r="D14" s="16">
        <v>1</v>
      </c>
      <c r="E14" s="16">
        <v>21.91</v>
      </c>
      <c r="F14" s="16">
        <v>0.132</v>
      </c>
      <c r="G14" s="16" t="s">
        <v>24</v>
      </c>
      <c r="H14" s="16" t="s">
        <v>15</v>
      </c>
      <c r="I14" s="16" t="s">
        <v>16</v>
      </c>
      <c r="J14" s="17"/>
      <c r="K14" s="26" t="s">
        <v>60</v>
      </c>
      <c r="L14" s="21">
        <f t="shared" si="0"/>
        <v>55</v>
      </c>
      <c r="M14" s="21">
        <f>SUMIF($G:$G,K14,F:F)</f>
        <v>5.705</v>
      </c>
    </row>
    <row r="15" s="2" customFormat="1" ht="22.2" customHeight="1" spans="1:13">
      <c r="A15" s="16" t="s">
        <v>61</v>
      </c>
      <c r="B15" s="16" t="s">
        <v>62</v>
      </c>
      <c r="C15" s="16" t="s">
        <v>63</v>
      </c>
      <c r="D15" s="16">
        <v>2</v>
      </c>
      <c r="E15" s="16">
        <v>33.74</v>
      </c>
      <c r="F15" s="16">
        <v>0.09</v>
      </c>
      <c r="G15" s="16" t="s">
        <v>24</v>
      </c>
      <c r="H15" s="16" t="s">
        <v>15</v>
      </c>
      <c r="I15" s="16" t="s">
        <v>16</v>
      </c>
      <c r="J15" s="17"/>
      <c r="K15" s="27" t="s">
        <v>64</v>
      </c>
      <c r="L15" s="21">
        <f t="shared" si="0"/>
        <v>3</v>
      </c>
      <c r="M15" s="21">
        <f>SUMIF($G:$G,K15,F:F)</f>
        <v>0.316</v>
      </c>
    </row>
    <row r="16" s="2" customFormat="1" ht="22.2" customHeight="1" spans="1:13">
      <c r="A16" s="16" t="s">
        <v>65</v>
      </c>
      <c r="B16" s="16" t="s">
        <v>66</v>
      </c>
      <c r="C16" s="16" t="s">
        <v>67</v>
      </c>
      <c r="D16" s="16">
        <v>2</v>
      </c>
      <c r="E16" s="16">
        <v>35.79</v>
      </c>
      <c r="F16" s="16">
        <v>0.227</v>
      </c>
      <c r="G16" s="16" t="s">
        <v>24</v>
      </c>
      <c r="H16" s="16" t="s">
        <v>15</v>
      </c>
      <c r="I16" s="16" t="s">
        <v>16</v>
      </c>
      <c r="J16" s="17"/>
      <c r="K16" s="28" t="s">
        <v>68</v>
      </c>
      <c r="L16" s="21">
        <f>SUMIF($G:$G,K16,$D:$D)</f>
        <v>248</v>
      </c>
      <c r="M16" s="21">
        <f>SUMIF($G:$G,K16,F:F)</f>
        <v>23.443</v>
      </c>
    </row>
    <row r="17" s="2" customFormat="1" ht="22.2" customHeight="1" spans="1:14">
      <c r="A17" s="16" t="s">
        <v>69</v>
      </c>
      <c r="B17" s="16" t="s">
        <v>70</v>
      </c>
      <c r="C17" s="16" t="s">
        <v>71</v>
      </c>
      <c r="D17" s="16">
        <v>1</v>
      </c>
      <c r="E17" s="16">
        <v>18.8</v>
      </c>
      <c r="F17" s="16">
        <v>0.109</v>
      </c>
      <c r="G17" s="16" t="s">
        <v>24</v>
      </c>
      <c r="H17" s="16" t="s">
        <v>15</v>
      </c>
      <c r="I17" s="16" t="s">
        <v>16</v>
      </c>
      <c r="J17" s="17"/>
      <c r="K17" s="29" t="s">
        <v>72</v>
      </c>
      <c r="L17" s="21">
        <f t="shared" ref="L17:L20" si="1">SUMIF($A:$A,K17,$D:$D)</f>
        <v>1</v>
      </c>
      <c r="M17" s="21">
        <f t="shared" ref="M17:M20" si="2">SUMIF($A:$A,K17,$F:$F)</f>
        <v>1.931</v>
      </c>
    </row>
    <row r="18" s="2" customFormat="1" ht="22.2" customHeight="1" spans="1:14">
      <c r="A18" s="16" t="s">
        <v>73</v>
      </c>
      <c r="B18" s="16" t="s">
        <v>74</v>
      </c>
      <c r="C18" s="16" t="s">
        <v>75</v>
      </c>
      <c r="D18" s="16">
        <v>40</v>
      </c>
      <c r="E18" s="16">
        <v>304</v>
      </c>
      <c r="F18" s="16">
        <v>2.353</v>
      </c>
      <c r="G18" s="16" t="s">
        <v>24</v>
      </c>
      <c r="H18" s="16" t="s">
        <v>15</v>
      </c>
      <c r="I18" s="16" t="s">
        <v>16</v>
      </c>
      <c r="J18" s="17"/>
      <c r="K18" s="29" t="s">
        <v>76</v>
      </c>
      <c r="L18" s="21">
        <f t="shared" si="1"/>
        <v>21</v>
      </c>
      <c r="M18" s="21">
        <f t="shared" si="2"/>
        <v>1.814</v>
      </c>
    </row>
    <row r="19" s="2" customFormat="1" ht="22.2" customHeight="1" spans="1:14">
      <c r="A19" s="16" t="s">
        <v>77</v>
      </c>
      <c r="B19" s="16" t="s">
        <v>78</v>
      </c>
      <c r="C19" s="16" t="s">
        <v>79</v>
      </c>
      <c r="D19" s="16">
        <v>11</v>
      </c>
      <c r="E19" s="16">
        <v>219.78</v>
      </c>
      <c r="F19" s="16">
        <v>0.699</v>
      </c>
      <c r="G19" s="16" t="s">
        <v>24</v>
      </c>
      <c r="H19" s="16" t="s">
        <v>15</v>
      </c>
      <c r="I19" s="16" t="s">
        <v>16</v>
      </c>
      <c r="J19" s="17"/>
      <c r="K19" s="29" t="s">
        <v>80</v>
      </c>
      <c r="L19" s="21">
        <f t="shared" si="1"/>
        <v>15</v>
      </c>
      <c r="M19" s="21">
        <f t="shared" si="2"/>
        <v>1.074</v>
      </c>
    </row>
    <row r="20" s="2" customFormat="1" ht="22.2" customHeight="1" spans="1:14">
      <c r="A20" s="16" t="s">
        <v>81</v>
      </c>
      <c r="B20" s="16" t="s">
        <v>82</v>
      </c>
      <c r="C20" s="16" t="s">
        <v>83</v>
      </c>
      <c r="D20" s="16">
        <v>2</v>
      </c>
      <c r="E20" s="16">
        <v>35.76</v>
      </c>
      <c r="F20" s="16">
        <v>0.127</v>
      </c>
      <c r="G20" s="16" t="s">
        <v>24</v>
      </c>
      <c r="H20" s="16" t="s">
        <v>15</v>
      </c>
      <c r="I20" s="16" t="s">
        <v>16</v>
      </c>
      <c r="J20" s="17"/>
      <c r="K20" s="29" t="s">
        <v>84</v>
      </c>
      <c r="L20" s="21">
        <f t="shared" si="1"/>
        <v>1</v>
      </c>
      <c r="M20" s="21">
        <f t="shared" si="2"/>
        <v>0.073</v>
      </c>
    </row>
    <row r="21" s="2" customFormat="1" ht="22.2" customHeight="1" spans="1:14">
      <c r="A21" s="16" t="s">
        <v>85</v>
      </c>
      <c r="B21" s="16" t="s">
        <v>86</v>
      </c>
      <c r="C21" s="16" t="s">
        <v>87</v>
      </c>
      <c r="D21" s="16">
        <v>1</v>
      </c>
      <c r="E21" s="16">
        <v>21.9</v>
      </c>
      <c r="F21" s="16">
        <v>0.138</v>
      </c>
      <c r="G21" s="16" t="s">
        <v>24</v>
      </c>
      <c r="H21" s="16" t="s">
        <v>15</v>
      </c>
      <c r="I21" s="16" t="s">
        <v>16</v>
      </c>
      <c r="J21" s="17"/>
      <c r="K21" s="30" t="s">
        <v>88</v>
      </c>
      <c r="L21" s="21">
        <f>SUMIF($G:$G,K21,$D:$D)</f>
        <v>17</v>
      </c>
      <c r="M21" s="21">
        <f>SUMIF($G:$G,K21,F:F)</f>
        <v>1.294</v>
      </c>
    </row>
    <row r="22" s="2" customFormat="1" ht="22.2" customHeight="1" spans="1:14">
      <c r="A22" s="16" t="s">
        <v>89</v>
      </c>
      <c r="B22" s="16" t="s">
        <v>90</v>
      </c>
      <c r="C22" s="16" t="s">
        <v>91</v>
      </c>
      <c r="D22" s="16">
        <v>2</v>
      </c>
      <c r="E22" s="16">
        <v>33.07</v>
      </c>
      <c r="F22" s="16">
        <v>0.2</v>
      </c>
      <c r="G22" s="16" t="s">
        <v>24</v>
      </c>
      <c r="H22" s="16" t="s">
        <v>15</v>
      </c>
      <c r="I22" s="16" t="s">
        <v>16</v>
      </c>
      <c r="J22" s="17"/>
    </row>
    <row r="23" s="2" customFormat="1" ht="22.2" customHeight="1" spans="1:14">
      <c r="A23" s="16" t="s">
        <v>92</v>
      </c>
      <c r="B23" s="16" t="s">
        <v>93</v>
      </c>
      <c r="C23" s="16" t="s">
        <v>94</v>
      </c>
      <c r="D23" s="16">
        <v>4</v>
      </c>
      <c r="E23" s="16">
        <v>86.3</v>
      </c>
      <c r="F23" s="16">
        <v>0.484</v>
      </c>
      <c r="G23" s="16" t="s">
        <v>24</v>
      </c>
      <c r="H23" s="16" t="s">
        <v>15</v>
      </c>
      <c r="I23" s="16" t="s">
        <v>16</v>
      </c>
      <c r="J23" s="17"/>
    </row>
    <row r="24" s="2" customFormat="1" ht="22.2" customHeight="1" spans="1:14">
      <c r="A24" s="16" t="s">
        <v>95</v>
      </c>
      <c r="B24" s="16" t="s">
        <v>96</v>
      </c>
      <c r="C24" s="16" t="s">
        <v>97</v>
      </c>
      <c r="D24" s="16">
        <v>1</v>
      </c>
      <c r="E24" s="16">
        <v>21.76</v>
      </c>
      <c r="F24" s="16">
        <v>0.135</v>
      </c>
      <c r="G24" s="16" t="s">
        <v>24</v>
      </c>
      <c r="H24" s="16" t="s">
        <v>15</v>
      </c>
      <c r="I24" s="16" t="s">
        <v>16</v>
      </c>
      <c r="J24" s="17"/>
    </row>
    <row r="25" s="2" customFormat="1" ht="22.2" customHeight="1" spans="1:14">
      <c r="A25" s="16" t="s">
        <v>98</v>
      </c>
      <c r="B25" s="16" t="s">
        <v>99</v>
      </c>
      <c r="C25" s="16" t="s">
        <v>100</v>
      </c>
      <c r="D25" s="16">
        <v>6</v>
      </c>
      <c r="E25" s="16">
        <v>116.19</v>
      </c>
      <c r="F25" s="16">
        <v>0.845</v>
      </c>
      <c r="G25" s="16" t="s">
        <v>24</v>
      </c>
      <c r="H25" s="16" t="s">
        <v>15</v>
      </c>
      <c r="I25" s="16" t="s">
        <v>16</v>
      </c>
      <c r="J25" s="17"/>
    </row>
    <row r="26" s="2" customFormat="1" ht="22.2" customHeight="1" spans="1:14">
      <c r="A26" s="16" t="s">
        <v>101</v>
      </c>
      <c r="B26" s="16" t="s">
        <v>102</v>
      </c>
      <c r="C26" s="16" t="s">
        <v>103</v>
      </c>
      <c r="D26" s="16">
        <v>2</v>
      </c>
      <c r="E26" s="16">
        <v>34.09</v>
      </c>
      <c r="F26" s="16">
        <v>0.099</v>
      </c>
      <c r="G26" s="16" t="s">
        <v>24</v>
      </c>
      <c r="H26" s="16" t="s">
        <v>15</v>
      </c>
      <c r="I26" s="16" t="s">
        <v>16</v>
      </c>
      <c r="J26" s="17"/>
    </row>
    <row r="27" s="2" customFormat="1" ht="22.2" customHeight="1" spans="1:14">
      <c r="A27" s="16" t="s">
        <v>104</v>
      </c>
      <c r="B27" s="16" t="s">
        <v>105</v>
      </c>
      <c r="C27" s="16" t="s">
        <v>106</v>
      </c>
      <c r="D27" s="16">
        <v>3</v>
      </c>
      <c r="E27" s="16">
        <v>59.36</v>
      </c>
      <c r="F27" s="16">
        <v>0.44</v>
      </c>
      <c r="G27" s="16" t="s">
        <v>24</v>
      </c>
      <c r="H27" s="16" t="s">
        <v>15</v>
      </c>
      <c r="I27" s="16" t="s">
        <v>16</v>
      </c>
      <c r="J27" s="17"/>
    </row>
    <row r="28" s="2" customFormat="1" ht="22.2" customHeight="1" spans="1:14">
      <c r="A28" s="16" t="s">
        <v>107</v>
      </c>
      <c r="B28" s="16" t="s">
        <v>108</v>
      </c>
      <c r="C28" s="16" t="s">
        <v>109</v>
      </c>
      <c r="D28" s="16">
        <v>2</v>
      </c>
      <c r="E28" s="16">
        <v>25.37</v>
      </c>
      <c r="F28" s="16">
        <v>0.266</v>
      </c>
      <c r="G28" s="16" t="s">
        <v>24</v>
      </c>
      <c r="H28" s="16" t="s">
        <v>15</v>
      </c>
      <c r="I28" s="16" t="s">
        <v>16</v>
      </c>
      <c r="J28" s="17"/>
    </row>
    <row r="29" s="2" customFormat="1" ht="25" customHeight="1" spans="1:14">
      <c r="A29" s="16" t="s">
        <v>110</v>
      </c>
      <c r="B29" s="16" t="s">
        <v>111</v>
      </c>
      <c r="C29" s="16" t="s">
        <v>112</v>
      </c>
      <c r="D29" s="16">
        <v>4</v>
      </c>
      <c r="E29" s="16">
        <v>87.71</v>
      </c>
      <c r="F29" s="16">
        <v>0.543</v>
      </c>
      <c r="G29" s="16" t="s">
        <v>24</v>
      </c>
      <c r="H29" s="16" t="s">
        <v>15</v>
      </c>
      <c r="I29" s="16" t="s">
        <v>16</v>
      </c>
      <c r="J29" s="17"/>
      <c r="K29" s="2"/>
      <c r="L29" s="2"/>
      <c r="M29" s="2"/>
      <c r="N29" s="31"/>
    </row>
    <row r="30" s="2" customFormat="1" ht="22.2" customHeight="1" spans="1:14">
      <c r="A30" s="16" t="s">
        <v>113</v>
      </c>
      <c r="B30" s="16" t="s">
        <v>114</v>
      </c>
      <c r="C30" s="16" t="s">
        <v>115</v>
      </c>
      <c r="D30" s="16">
        <v>3</v>
      </c>
      <c r="E30" s="16">
        <v>61.99</v>
      </c>
      <c r="F30" s="16">
        <v>0.266</v>
      </c>
      <c r="G30" s="16" t="s">
        <v>24</v>
      </c>
      <c r="H30" s="16" t="s">
        <v>15</v>
      </c>
      <c r="I30" s="16" t="s">
        <v>16</v>
      </c>
      <c r="J30" s="17"/>
      <c r="K30" s="2"/>
      <c r="L30" s="2"/>
      <c r="M30" s="2"/>
      <c r="N30" s="31"/>
    </row>
    <row r="31" s="2" customFormat="1" ht="22.2" customHeight="1" spans="1:14">
      <c r="A31" s="16" t="s">
        <v>116</v>
      </c>
      <c r="B31" s="16" t="s">
        <v>117</v>
      </c>
      <c r="C31" s="16" t="s">
        <v>118</v>
      </c>
      <c r="D31" s="16">
        <v>2</v>
      </c>
      <c r="E31" s="16">
        <v>34.38</v>
      </c>
      <c r="F31" s="16">
        <v>0.191</v>
      </c>
      <c r="G31" s="16" t="s">
        <v>24</v>
      </c>
      <c r="H31" s="16" t="s">
        <v>15</v>
      </c>
      <c r="I31" s="16" t="s">
        <v>16</v>
      </c>
      <c r="J31" s="17"/>
      <c r="K31" s="2"/>
      <c r="L31" s="2"/>
      <c r="M31" s="2"/>
      <c r="N31" s="31"/>
    </row>
    <row r="32" s="2" customFormat="1" ht="22.2" customHeight="1" spans="1:14">
      <c r="A32" s="16" t="s">
        <v>119</v>
      </c>
      <c r="B32" s="16" t="s">
        <v>120</v>
      </c>
      <c r="C32" s="16" t="s">
        <v>121</v>
      </c>
      <c r="D32" s="16">
        <v>6</v>
      </c>
      <c r="E32" s="16">
        <v>122.51</v>
      </c>
      <c r="F32" s="16">
        <v>0.785</v>
      </c>
      <c r="G32" s="16" t="s">
        <v>24</v>
      </c>
      <c r="H32" s="16" t="s">
        <v>15</v>
      </c>
      <c r="I32" s="16" t="s">
        <v>16</v>
      </c>
      <c r="J32" s="17"/>
      <c r="K32" s="2"/>
      <c r="L32" s="2"/>
      <c r="M32" s="2"/>
      <c r="N32" s="31"/>
    </row>
    <row r="33" s="2" customFormat="1" ht="22.2" customHeight="1" spans="1:11">
      <c r="A33" s="16" t="s">
        <v>122</v>
      </c>
      <c r="B33" s="16" t="s">
        <v>123</v>
      </c>
      <c r="C33" s="16" t="s">
        <v>124</v>
      </c>
      <c r="D33" s="16">
        <v>2</v>
      </c>
      <c r="E33" s="16">
        <v>32.54</v>
      </c>
      <c r="F33" s="16">
        <v>0.274</v>
      </c>
      <c r="G33" s="16" t="s">
        <v>24</v>
      </c>
      <c r="H33" s="16" t="s">
        <v>15</v>
      </c>
      <c r="I33" s="16" t="s">
        <v>16</v>
      </c>
      <c r="J33" s="17"/>
    </row>
    <row r="34" s="2" customFormat="1" ht="22.2" customHeight="1" spans="1:11">
      <c r="A34" s="16" t="s">
        <v>125</v>
      </c>
      <c r="B34" s="16" t="s">
        <v>126</v>
      </c>
      <c r="C34" s="16" t="s">
        <v>127</v>
      </c>
      <c r="D34" s="16">
        <v>2</v>
      </c>
      <c r="E34" s="16">
        <v>43.26</v>
      </c>
      <c r="F34" s="16">
        <v>0.164</v>
      </c>
      <c r="G34" s="16" t="s">
        <v>24</v>
      </c>
      <c r="H34" s="16" t="s">
        <v>15</v>
      </c>
      <c r="I34" s="16" t="s">
        <v>16</v>
      </c>
      <c r="J34" s="17"/>
    </row>
    <row r="35" s="2" customFormat="1" ht="22.2" customHeight="1" spans="1:11">
      <c r="A35" s="16" t="s">
        <v>128</v>
      </c>
      <c r="B35" s="16" t="s">
        <v>129</v>
      </c>
      <c r="C35" s="16" t="s">
        <v>130</v>
      </c>
      <c r="D35" s="16">
        <v>2</v>
      </c>
      <c r="E35" s="16">
        <v>40.22</v>
      </c>
      <c r="F35" s="16">
        <v>0.193</v>
      </c>
      <c r="G35" s="16" t="s">
        <v>24</v>
      </c>
      <c r="H35" s="16" t="s">
        <v>15</v>
      </c>
      <c r="I35" s="16" t="s">
        <v>16</v>
      </c>
      <c r="J35" s="17"/>
      <c r="K35" s="18"/>
    </row>
    <row r="36" s="2" customFormat="1" ht="22.2" customHeight="1" spans="1:11">
      <c r="A36" s="16" t="s">
        <v>131</v>
      </c>
      <c r="B36" s="16" t="s">
        <v>132</v>
      </c>
      <c r="C36" s="16" t="s">
        <v>133</v>
      </c>
      <c r="D36" s="16">
        <v>3</v>
      </c>
      <c r="E36" s="16">
        <v>65.7</v>
      </c>
      <c r="F36" s="16">
        <v>0.402</v>
      </c>
      <c r="G36" s="16" t="s">
        <v>24</v>
      </c>
      <c r="H36" s="16" t="s">
        <v>15</v>
      </c>
      <c r="I36" s="16" t="s">
        <v>16</v>
      </c>
      <c r="J36" s="17"/>
      <c r="K36" s="18"/>
    </row>
    <row r="37" s="2" customFormat="1" ht="22.2" customHeight="1" spans="1:11">
      <c r="A37" s="16" t="s">
        <v>134</v>
      </c>
      <c r="B37" s="16" t="s">
        <v>135</v>
      </c>
      <c r="C37" s="16" t="s">
        <v>136</v>
      </c>
      <c r="D37" s="16">
        <v>2</v>
      </c>
      <c r="E37" s="16">
        <v>41.03</v>
      </c>
      <c r="F37" s="16">
        <v>0.254</v>
      </c>
      <c r="G37" s="16" t="s">
        <v>24</v>
      </c>
      <c r="H37" s="16" t="s">
        <v>15</v>
      </c>
      <c r="I37" s="16" t="s">
        <v>16</v>
      </c>
      <c r="J37" s="17"/>
      <c r="K37" s="18"/>
    </row>
    <row r="38" s="2" customFormat="1" ht="22.2" customHeight="1" spans="1:11">
      <c r="A38" s="16" t="s">
        <v>137</v>
      </c>
      <c r="B38" s="16" t="s">
        <v>138</v>
      </c>
      <c r="C38" s="16" t="s">
        <v>139</v>
      </c>
      <c r="D38" s="16">
        <v>2</v>
      </c>
      <c r="E38" s="16">
        <v>43.92</v>
      </c>
      <c r="F38" s="16">
        <v>0.165</v>
      </c>
      <c r="G38" s="16" t="s">
        <v>24</v>
      </c>
      <c r="H38" s="16" t="s">
        <v>15</v>
      </c>
      <c r="I38" s="16" t="s">
        <v>16</v>
      </c>
      <c r="J38" s="17"/>
      <c r="K38" s="18"/>
    </row>
    <row r="39" s="2" customFormat="1" ht="22.2" customHeight="1" spans="1:11">
      <c r="A39" s="16" t="s">
        <v>140</v>
      </c>
      <c r="B39" s="16" t="s">
        <v>141</v>
      </c>
      <c r="C39" s="16" t="s">
        <v>142</v>
      </c>
      <c r="D39" s="16">
        <v>2</v>
      </c>
      <c r="E39" s="16">
        <v>38.67</v>
      </c>
      <c r="F39" s="16">
        <v>0.242</v>
      </c>
      <c r="G39" s="16" t="s">
        <v>24</v>
      </c>
      <c r="H39" s="16" t="s">
        <v>15</v>
      </c>
      <c r="I39" s="16" t="s">
        <v>16</v>
      </c>
      <c r="J39" s="17"/>
      <c r="K39" s="18"/>
    </row>
    <row r="40" s="2" customFormat="1" ht="22.2" customHeight="1" spans="1:11">
      <c r="A40" s="16" t="s">
        <v>143</v>
      </c>
      <c r="B40" s="16" t="s">
        <v>144</v>
      </c>
      <c r="C40" s="16" t="s">
        <v>145</v>
      </c>
      <c r="D40" s="16">
        <v>5</v>
      </c>
      <c r="E40" s="16">
        <v>76.02</v>
      </c>
      <c r="F40" s="16">
        <v>0.651</v>
      </c>
      <c r="G40" s="16" t="s">
        <v>24</v>
      </c>
      <c r="H40" s="16" t="s">
        <v>15</v>
      </c>
      <c r="I40" s="16" t="s">
        <v>16</v>
      </c>
      <c r="J40" s="17"/>
      <c r="K40" s="18"/>
    </row>
    <row r="41" s="2" customFormat="1" ht="22.2" customHeight="1" spans="1:11">
      <c r="A41" s="16" t="s">
        <v>146</v>
      </c>
      <c r="B41" s="16" t="s">
        <v>147</v>
      </c>
      <c r="C41" s="16" t="s">
        <v>148</v>
      </c>
      <c r="D41" s="16">
        <v>2</v>
      </c>
      <c r="E41" s="16">
        <v>35.05</v>
      </c>
      <c r="F41" s="16">
        <v>0.208</v>
      </c>
      <c r="G41" s="16" t="s">
        <v>24</v>
      </c>
      <c r="H41" s="16" t="s">
        <v>15</v>
      </c>
      <c r="I41" s="16" t="s">
        <v>16</v>
      </c>
      <c r="J41" s="17"/>
      <c r="K41" s="18"/>
    </row>
    <row r="42" s="2" customFormat="1" ht="22.2" customHeight="1" spans="1:11">
      <c r="A42" s="16" t="s">
        <v>149</v>
      </c>
      <c r="B42" s="16" t="s">
        <v>150</v>
      </c>
      <c r="C42" s="16" t="s">
        <v>151</v>
      </c>
      <c r="D42" s="16">
        <v>1</v>
      </c>
      <c r="E42" s="16">
        <v>22.66</v>
      </c>
      <c r="F42" s="16">
        <v>0.131</v>
      </c>
      <c r="G42" s="16" t="s">
        <v>24</v>
      </c>
      <c r="H42" s="16" t="s">
        <v>15</v>
      </c>
      <c r="I42" s="16" t="s">
        <v>16</v>
      </c>
      <c r="J42" s="21"/>
      <c r="K42" s="18"/>
    </row>
    <row r="43" s="2" customFormat="1" ht="22.2" customHeight="1" spans="1:11">
      <c r="A43" s="16" t="s">
        <v>152</v>
      </c>
      <c r="B43" s="16" t="s">
        <v>153</v>
      </c>
      <c r="C43" s="16" t="s">
        <v>154</v>
      </c>
      <c r="D43" s="16">
        <v>2</v>
      </c>
      <c r="E43" s="16">
        <v>43.46</v>
      </c>
      <c r="F43" s="16">
        <v>0.198</v>
      </c>
      <c r="G43" s="16" t="s">
        <v>24</v>
      </c>
      <c r="H43" s="16" t="s">
        <v>15</v>
      </c>
      <c r="I43" s="16" t="s">
        <v>16</v>
      </c>
      <c r="J43" s="21"/>
      <c r="K43" s="18"/>
    </row>
    <row r="44" s="2" customFormat="1" ht="22.2" customHeight="1" spans="1:11">
      <c r="A44" s="16" t="s">
        <v>155</v>
      </c>
      <c r="B44" s="16" t="s">
        <v>156</v>
      </c>
      <c r="C44" s="16" t="s">
        <v>157</v>
      </c>
      <c r="D44" s="16">
        <v>5</v>
      </c>
      <c r="E44" s="16">
        <v>100.32</v>
      </c>
      <c r="F44" s="16">
        <v>0.669</v>
      </c>
      <c r="G44" s="16" t="s">
        <v>24</v>
      </c>
      <c r="H44" s="16" t="s">
        <v>15</v>
      </c>
      <c r="I44" s="16" t="s">
        <v>16</v>
      </c>
      <c r="J44" s="21"/>
      <c r="K44" s="18"/>
    </row>
    <row r="45" s="2" customFormat="1" ht="22.2" customHeight="1" spans="1:11">
      <c r="A45" s="16" t="s">
        <v>158</v>
      </c>
      <c r="B45" s="16" t="s">
        <v>159</v>
      </c>
      <c r="C45" s="16" t="s">
        <v>160</v>
      </c>
      <c r="D45" s="16">
        <v>3</v>
      </c>
      <c r="E45" s="16">
        <v>61.03</v>
      </c>
      <c r="F45" s="16">
        <v>0.394</v>
      </c>
      <c r="G45" s="16" t="s">
        <v>24</v>
      </c>
      <c r="H45" s="16" t="s">
        <v>15</v>
      </c>
      <c r="I45" s="16" t="s">
        <v>16</v>
      </c>
      <c r="J45" s="21"/>
      <c r="K45" s="18"/>
    </row>
    <row r="46" s="2" customFormat="1" ht="22.2" customHeight="1" spans="1:11">
      <c r="A46" s="16" t="s">
        <v>161</v>
      </c>
      <c r="B46" s="16" t="s">
        <v>162</v>
      </c>
      <c r="C46" s="16" t="s">
        <v>163</v>
      </c>
      <c r="D46" s="16">
        <v>2</v>
      </c>
      <c r="E46" s="16">
        <v>24.23</v>
      </c>
      <c r="F46" s="16">
        <v>0.084</v>
      </c>
      <c r="G46" s="16" t="s">
        <v>24</v>
      </c>
      <c r="H46" s="16" t="s">
        <v>15</v>
      </c>
      <c r="I46" s="16" t="s">
        <v>16</v>
      </c>
      <c r="J46" s="21"/>
      <c r="K46" s="18"/>
    </row>
    <row r="47" s="2" customFormat="1" ht="22.2" customHeight="1" spans="1:11">
      <c r="A47" s="16" t="s">
        <v>164</v>
      </c>
      <c r="B47" s="16" t="s">
        <v>165</v>
      </c>
      <c r="C47" s="16" t="s">
        <v>166</v>
      </c>
      <c r="D47" s="16">
        <v>2</v>
      </c>
      <c r="E47" s="16">
        <v>39.93</v>
      </c>
      <c r="F47" s="16">
        <v>0.264</v>
      </c>
      <c r="G47" s="16" t="s">
        <v>24</v>
      </c>
      <c r="H47" s="16" t="s">
        <v>15</v>
      </c>
      <c r="I47" s="16" t="s">
        <v>16</v>
      </c>
      <c r="J47" s="21"/>
      <c r="K47" s="18"/>
    </row>
    <row r="48" s="2" customFormat="1" ht="22.2" customHeight="1" spans="1:11">
      <c r="A48" s="16" t="s">
        <v>167</v>
      </c>
      <c r="B48" s="16" t="s">
        <v>168</v>
      </c>
      <c r="C48" s="16" t="s">
        <v>169</v>
      </c>
      <c r="D48" s="16">
        <v>2</v>
      </c>
      <c r="E48" s="16">
        <v>31.97</v>
      </c>
      <c r="F48" s="16">
        <v>0.213</v>
      </c>
      <c r="G48" s="16" t="s">
        <v>24</v>
      </c>
      <c r="H48" s="16" t="s">
        <v>15</v>
      </c>
      <c r="I48" s="16" t="s">
        <v>16</v>
      </c>
      <c r="J48" s="21"/>
      <c r="K48" s="18"/>
    </row>
    <row r="49" s="2" customFormat="1" ht="22.2" customHeight="1" spans="1:11">
      <c r="A49" s="16" t="s">
        <v>170</v>
      </c>
      <c r="B49" s="16" t="s">
        <v>171</v>
      </c>
      <c r="C49" s="16" t="s">
        <v>172</v>
      </c>
      <c r="D49" s="16">
        <v>2</v>
      </c>
      <c r="E49" s="16">
        <v>42.98</v>
      </c>
      <c r="F49" s="16">
        <v>0.228</v>
      </c>
      <c r="G49" s="16" t="s">
        <v>24</v>
      </c>
      <c r="H49" s="16" t="s">
        <v>15</v>
      </c>
      <c r="I49" s="16" t="s">
        <v>16</v>
      </c>
      <c r="J49" s="21"/>
      <c r="K49" s="18"/>
    </row>
    <row r="50" s="2" customFormat="1" ht="22.2" customHeight="1" spans="1:11">
      <c r="A50" s="16" t="s">
        <v>173</v>
      </c>
      <c r="B50" s="16" t="s">
        <v>174</v>
      </c>
      <c r="C50" s="16" t="s">
        <v>175</v>
      </c>
      <c r="D50" s="16">
        <v>6</v>
      </c>
      <c r="E50" s="16">
        <v>118.41</v>
      </c>
      <c r="F50" s="16">
        <v>0.779</v>
      </c>
      <c r="G50" s="16" t="s">
        <v>24</v>
      </c>
      <c r="H50" s="16" t="s">
        <v>15</v>
      </c>
      <c r="I50" s="16" t="s">
        <v>16</v>
      </c>
      <c r="J50" s="21"/>
      <c r="K50" s="18"/>
    </row>
    <row r="51" s="2" customFormat="1" ht="22.2" customHeight="1" spans="1:11">
      <c r="A51" s="16" t="s">
        <v>176</v>
      </c>
      <c r="B51" s="16" t="s">
        <v>177</v>
      </c>
      <c r="C51" s="16" t="s">
        <v>178</v>
      </c>
      <c r="D51" s="16">
        <v>2</v>
      </c>
      <c r="E51" s="16">
        <v>39.64</v>
      </c>
      <c r="F51" s="16">
        <v>0.195</v>
      </c>
      <c r="G51" s="16" t="s">
        <v>24</v>
      </c>
      <c r="H51" s="16" t="s">
        <v>15</v>
      </c>
      <c r="I51" s="16" t="s">
        <v>16</v>
      </c>
      <c r="J51" s="21"/>
      <c r="K51" s="18"/>
    </row>
    <row r="52" s="2" customFormat="1" ht="22.2" customHeight="1" spans="1:11">
      <c r="A52" s="16" t="s">
        <v>179</v>
      </c>
      <c r="B52" s="16" t="s">
        <v>180</v>
      </c>
      <c r="C52" s="16" t="s">
        <v>181</v>
      </c>
      <c r="D52" s="16">
        <v>5</v>
      </c>
      <c r="E52" s="16">
        <v>84.83</v>
      </c>
      <c r="F52" s="16">
        <v>0.385</v>
      </c>
      <c r="G52" s="16" t="s">
        <v>24</v>
      </c>
      <c r="H52" s="16" t="s">
        <v>15</v>
      </c>
      <c r="I52" s="16" t="s">
        <v>16</v>
      </c>
      <c r="J52" s="21"/>
      <c r="K52" s="18"/>
    </row>
    <row r="53" s="2" customFormat="1" ht="22.2" customHeight="1" spans="1:11">
      <c r="A53" s="16" t="s">
        <v>182</v>
      </c>
      <c r="B53" s="16" t="s">
        <v>183</v>
      </c>
      <c r="C53" s="16" t="s">
        <v>184</v>
      </c>
      <c r="D53" s="16">
        <v>10</v>
      </c>
      <c r="E53" s="16">
        <v>212</v>
      </c>
      <c r="F53" s="16">
        <v>1.087</v>
      </c>
      <c r="G53" s="16" t="s">
        <v>24</v>
      </c>
      <c r="H53" s="16" t="s">
        <v>15</v>
      </c>
      <c r="I53" s="16" t="s">
        <v>16</v>
      </c>
      <c r="J53" s="21"/>
      <c r="K53" s="18"/>
    </row>
    <row r="54" s="2" customFormat="1" ht="22.2" customHeight="1" spans="1:11">
      <c r="A54" s="16" t="s">
        <v>185</v>
      </c>
      <c r="B54" s="16" t="s">
        <v>186</v>
      </c>
      <c r="C54" s="16" t="s">
        <v>187</v>
      </c>
      <c r="D54" s="16">
        <v>3</v>
      </c>
      <c r="E54" s="16">
        <v>52.81</v>
      </c>
      <c r="F54" s="16">
        <v>0.309</v>
      </c>
      <c r="G54" s="16" t="s">
        <v>24</v>
      </c>
      <c r="H54" s="16" t="s">
        <v>15</v>
      </c>
      <c r="I54" s="16" t="s">
        <v>16</v>
      </c>
      <c r="J54" s="21"/>
      <c r="K54" s="18"/>
    </row>
    <row r="55" s="2" customFormat="1" ht="22.2" customHeight="1" spans="1:11">
      <c r="A55" s="16" t="s">
        <v>188</v>
      </c>
      <c r="B55" s="16" t="s">
        <v>189</v>
      </c>
      <c r="C55" s="16" t="s">
        <v>190</v>
      </c>
      <c r="D55" s="16">
        <v>1</v>
      </c>
      <c r="E55" s="16">
        <v>21.93</v>
      </c>
      <c r="F55" s="16">
        <v>0.135</v>
      </c>
      <c r="G55" s="16" t="s">
        <v>24</v>
      </c>
      <c r="H55" s="16" t="s">
        <v>15</v>
      </c>
      <c r="I55" s="16" t="s">
        <v>16</v>
      </c>
      <c r="J55" s="21"/>
      <c r="K55" s="18"/>
    </row>
    <row r="56" s="2" customFormat="1" ht="22.2" customHeight="1" spans="1:11">
      <c r="A56" s="16" t="s">
        <v>191</v>
      </c>
      <c r="B56" s="16" t="s">
        <v>192</v>
      </c>
      <c r="C56" s="16" t="s">
        <v>193</v>
      </c>
      <c r="D56" s="16">
        <v>2</v>
      </c>
      <c r="E56" s="16">
        <v>29.94</v>
      </c>
      <c r="F56" s="16">
        <v>0.134</v>
      </c>
      <c r="G56" s="16" t="s">
        <v>24</v>
      </c>
      <c r="H56" s="16" t="s">
        <v>15</v>
      </c>
      <c r="I56" s="16" t="s">
        <v>16</v>
      </c>
      <c r="J56" s="21"/>
      <c r="K56" s="18"/>
    </row>
    <row r="57" s="2" customFormat="1" ht="22.2" customHeight="1" spans="1:11">
      <c r="A57" s="16" t="s">
        <v>194</v>
      </c>
      <c r="B57" s="16" t="s">
        <v>195</v>
      </c>
      <c r="C57" s="16" t="s">
        <v>196</v>
      </c>
      <c r="D57" s="16">
        <v>2</v>
      </c>
      <c r="E57" s="16">
        <v>31.88</v>
      </c>
      <c r="F57" s="16">
        <v>0.18</v>
      </c>
      <c r="G57" s="16" t="s">
        <v>24</v>
      </c>
      <c r="H57" s="16" t="s">
        <v>15</v>
      </c>
      <c r="I57" s="16" t="s">
        <v>16</v>
      </c>
      <c r="J57" s="21"/>
      <c r="K57" s="18"/>
    </row>
    <row r="58" s="2" customFormat="1" ht="22.2" customHeight="1" spans="1:11">
      <c r="A58" s="16" t="s">
        <v>197</v>
      </c>
      <c r="B58" s="16" t="s">
        <v>198</v>
      </c>
      <c r="C58" s="16" t="s">
        <v>199</v>
      </c>
      <c r="D58" s="16">
        <v>3</v>
      </c>
      <c r="E58" s="16">
        <v>49.28</v>
      </c>
      <c r="F58" s="16">
        <v>0.346</v>
      </c>
      <c r="G58" s="16" t="s">
        <v>24</v>
      </c>
      <c r="H58" s="16" t="s">
        <v>15</v>
      </c>
      <c r="I58" s="16" t="s">
        <v>16</v>
      </c>
      <c r="J58" s="21"/>
      <c r="K58" s="18"/>
    </row>
    <row r="59" s="2" customFormat="1" ht="22.2" customHeight="1" spans="1:11">
      <c r="A59" s="16" t="s">
        <v>200</v>
      </c>
      <c r="B59" s="16" t="s">
        <v>201</v>
      </c>
      <c r="C59" s="16" t="s">
        <v>202</v>
      </c>
      <c r="D59" s="16">
        <v>2</v>
      </c>
      <c r="E59" s="16">
        <v>33.82</v>
      </c>
      <c r="F59" s="16">
        <v>0.204</v>
      </c>
      <c r="G59" s="16" t="s">
        <v>24</v>
      </c>
      <c r="H59" s="16" t="s">
        <v>15</v>
      </c>
      <c r="I59" s="16" t="s">
        <v>16</v>
      </c>
      <c r="J59" s="21"/>
      <c r="K59" s="18"/>
    </row>
    <row r="60" s="2" customFormat="1" ht="22.2" customHeight="1" spans="1:11">
      <c r="A60" s="16" t="s">
        <v>203</v>
      </c>
      <c r="B60" s="16" t="s">
        <v>204</v>
      </c>
      <c r="C60" s="16" t="s">
        <v>205</v>
      </c>
      <c r="D60" s="16">
        <v>2</v>
      </c>
      <c r="E60" s="16">
        <v>28.35</v>
      </c>
      <c r="F60" s="16">
        <v>0.197</v>
      </c>
      <c r="G60" s="16" t="s">
        <v>24</v>
      </c>
      <c r="H60" s="16" t="s">
        <v>15</v>
      </c>
      <c r="I60" s="16" t="s">
        <v>16</v>
      </c>
      <c r="J60" s="21"/>
      <c r="K60" s="18"/>
    </row>
    <row r="61" s="2" customFormat="1" ht="22.2" customHeight="1" spans="1:11">
      <c r="A61" s="16" t="s">
        <v>206</v>
      </c>
      <c r="B61" s="16" t="s">
        <v>207</v>
      </c>
      <c r="C61" s="16" t="s">
        <v>208</v>
      </c>
      <c r="D61" s="16">
        <v>2</v>
      </c>
      <c r="E61" s="16">
        <v>39.99</v>
      </c>
      <c r="F61" s="16">
        <v>0.207</v>
      </c>
      <c r="G61" s="16" t="s">
        <v>24</v>
      </c>
      <c r="H61" s="16" t="s">
        <v>15</v>
      </c>
      <c r="I61" s="16" t="s">
        <v>16</v>
      </c>
      <c r="J61" s="21"/>
      <c r="K61" s="18"/>
    </row>
    <row r="62" s="2" customFormat="1" ht="22.2" customHeight="1" spans="1:11">
      <c r="A62" s="16" t="s">
        <v>209</v>
      </c>
      <c r="B62" s="16" t="s">
        <v>210</v>
      </c>
      <c r="C62" s="16" t="s">
        <v>211</v>
      </c>
      <c r="D62" s="16">
        <v>15</v>
      </c>
      <c r="E62" s="16">
        <v>321</v>
      </c>
      <c r="F62" s="16">
        <v>1.736</v>
      </c>
      <c r="G62" s="16" t="s">
        <v>24</v>
      </c>
      <c r="H62" s="16" t="s">
        <v>15</v>
      </c>
      <c r="I62" s="16" t="s">
        <v>16</v>
      </c>
      <c r="J62" s="21"/>
      <c r="K62" s="18"/>
    </row>
    <row r="63" s="2" customFormat="1" ht="22.2" customHeight="1" spans="1:11">
      <c r="A63" s="16" t="s">
        <v>212</v>
      </c>
      <c r="B63" s="16" t="s">
        <v>213</v>
      </c>
      <c r="C63" s="16" t="s">
        <v>214</v>
      </c>
      <c r="D63" s="16">
        <v>8</v>
      </c>
      <c r="E63" s="16">
        <v>162</v>
      </c>
      <c r="F63" s="16">
        <v>0.446</v>
      </c>
      <c r="G63" s="16" t="s">
        <v>24</v>
      </c>
      <c r="H63" s="16" t="s">
        <v>15</v>
      </c>
      <c r="I63" s="16" t="s">
        <v>16</v>
      </c>
      <c r="J63" s="21"/>
      <c r="K63" s="18"/>
    </row>
    <row r="64" s="2" customFormat="1" ht="22.2" customHeight="1" spans="1:11">
      <c r="A64" s="16" t="s">
        <v>215</v>
      </c>
      <c r="B64" s="16" t="s">
        <v>216</v>
      </c>
      <c r="C64" s="16" t="s">
        <v>217</v>
      </c>
      <c r="D64" s="16">
        <v>3</v>
      </c>
      <c r="E64" s="16">
        <v>48.53</v>
      </c>
      <c r="F64" s="16">
        <v>0.265</v>
      </c>
      <c r="G64" s="16" t="s">
        <v>24</v>
      </c>
      <c r="H64" s="16" t="s">
        <v>15</v>
      </c>
      <c r="I64" s="16" t="s">
        <v>16</v>
      </c>
      <c r="J64" s="21"/>
      <c r="K64" s="18"/>
    </row>
    <row r="65" s="2" customFormat="1" ht="22.2" customHeight="1" spans="1:11">
      <c r="A65" s="16" t="s">
        <v>218</v>
      </c>
      <c r="B65" s="16" t="s">
        <v>219</v>
      </c>
      <c r="C65" s="16" t="s">
        <v>220</v>
      </c>
      <c r="D65" s="16">
        <v>4</v>
      </c>
      <c r="E65" s="16">
        <v>79.36</v>
      </c>
      <c r="F65" s="16">
        <v>0.379</v>
      </c>
      <c r="G65" s="16" t="s">
        <v>24</v>
      </c>
      <c r="H65" s="16" t="s">
        <v>15</v>
      </c>
      <c r="I65" s="16" t="s">
        <v>16</v>
      </c>
      <c r="J65" s="21"/>
      <c r="K65" s="18"/>
    </row>
    <row r="66" s="2" customFormat="1" ht="22.2" customHeight="1" spans="1:11">
      <c r="A66" s="16" t="s">
        <v>221</v>
      </c>
      <c r="B66" s="16" t="s">
        <v>222</v>
      </c>
      <c r="C66" s="16" t="s">
        <v>223</v>
      </c>
      <c r="D66" s="16">
        <v>2</v>
      </c>
      <c r="E66" s="16">
        <v>33.04</v>
      </c>
      <c r="F66" s="16">
        <v>0.177</v>
      </c>
      <c r="G66" s="16" t="s">
        <v>24</v>
      </c>
      <c r="H66" s="16" t="s">
        <v>15</v>
      </c>
      <c r="I66" s="16" t="s">
        <v>16</v>
      </c>
      <c r="J66" s="21"/>
      <c r="K66" s="18"/>
    </row>
    <row r="67" s="2" customFormat="1" ht="22.2" customHeight="1" spans="1:11">
      <c r="A67" s="16" t="s">
        <v>224</v>
      </c>
      <c r="B67" s="16" t="s">
        <v>225</v>
      </c>
      <c r="C67" s="16" t="s">
        <v>226</v>
      </c>
      <c r="D67" s="16">
        <v>4</v>
      </c>
      <c r="E67" s="16">
        <v>81.26</v>
      </c>
      <c r="F67" s="16">
        <v>0.54</v>
      </c>
      <c r="G67" s="16" t="s">
        <v>24</v>
      </c>
      <c r="H67" s="16" t="s">
        <v>15</v>
      </c>
      <c r="I67" s="16" t="s">
        <v>16</v>
      </c>
      <c r="J67" s="21"/>
      <c r="K67" s="18"/>
    </row>
    <row r="68" s="2" customFormat="1" ht="22.2" customHeight="1" spans="1:11">
      <c r="A68" s="16" t="s">
        <v>227</v>
      </c>
      <c r="B68" s="16" t="s">
        <v>228</v>
      </c>
      <c r="C68" s="16" t="s">
        <v>229</v>
      </c>
      <c r="D68" s="16">
        <v>2</v>
      </c>
      <c r="E68" s="16">
        <v>31.86</v>
      </c>
      <c r="F68" s="16">
        <v>0.209</v>
      </c>
      <c r="G68" s="16" t="s">
        <v>24</v>
      </c>
      <c r="H68" s="16" t="s">
        <v>15</v>
      </c>
      <c r="I68" s="16" t="s">
        <v>16</v>
      </c>
      <c r="J68" s="21"/>
      <c r="K68" s="18"/>
    </row>
    <row r="69" s="2" customFormat="1" ht="22.2" customHeight="1" spans="1:11">
      <c r="A69" s="16" t="s">
        <v>230</v>
      </c>
      <c r="B69" s="16" t="s">
        <v>231</v>
      </c>
      <c r="C69" s="16" t="s">
        <v>232</v>
      </c>
      <c r="D69" s="16">
        <v>1</v>
      </c>
      <c r="E69" s="16">
        <v>21.3</v>
      </c>
      <c r="F69" s="16">
        <v>0.074</v>
      </c>
      <c r="G69" s="16" t="s">
        <v>24</v>
      </c>
      <c r="H69" s="16" t="s">
        <v>15</v>
      </c>
      <c r="I69" s="16" t="s">
        <v>16</v>
      </c>
      <c r="J69" s="21"/>
      <c r="K69" s="18"/>
    </row>
    <row r="70" s="2" customFormat="1" ht="22.2" customHeight="1" spans="1:11">
      <c r="A70" s="16" t="s">
        <v>233</v>
      </c>
      <c r="B70" s="16" t="s">
        <v>234</v>
      </c>
      <c r="C70" s="16" t="s">
        <v>235</v>
      </c>
      <c r="D70" s="16">
        <v>6</v>
      </c>
      <c r="E70" s="16">
        <v>114.32</v>
      </c>
      <c r="F70" s="16">
        <v>0.702</v>
      </c>
      <c r="G70" s="16" t="s">
        <v>24</v>
      </c>
      <c r="H70" s="16" t="s">
        <v>15</v>
      </c>
      <c r="I70" s="16" t="s">
        <v>16</v>
      </c>
      <c r="J70" s="21"/>
      <c r="K70" s="18"/>
    </row>
    <row r="71" s="2" customFormat="1" ht="22.2" customHeight="1" spans="1:11">
      <c r="A71" s="16" t="s">
        <v>236</v>
      </c>
      <c r="B71" s="16" t="s">
        <v>237</v>
      </c>
      <c r="C71" s="16" t="s">
        <v>238</v>
      </c>
      <c r="D71" s="16">
        <v>6</v>
      </c>
      <c r="E71" s="16">
        <v>128.02</v>
      </c>
      <c r="F71" s="16">
        <v>0.675</v>
      </c>
      <c r="G71" s="16" t="s">
        <v>24</v>
      </c>
      <c r="H71" s="16" t="s">
        <v>15</v>
      </c>
      <c r="I71" s="16" t="s">
        <v>16</v>
      </c>
      <c r="J71" s="21"/>
      <c r="K71" s="18"/>
    </row>
    <row r="72" s="2" customFormat="1" ht="22.2" customHeight="1" spans="1:11">
      <c r="A72" s="16" t="s">
        <v>239</v>
      </c>
      <c r="B72" s="16" t="s">
        <v>240</v>
      </c>
      <c r="C72" s="16" t="s">
        <v>241</v>
      </c>
      <c r="D72" s="16">
        <v>3</v>
      </c>
      <c r="E72" s="16">
        <v>43.94</v>
      </c>
      <c r="F72" s="16">
        <v>0.407</v>
      </c>
      <c r="G72" s="16" t="s">
        <v>24</v>
      </c>
      <c r="H72" s="16" t="s">
        <v>15</v>
      </c>
      <c r="I72" s="16" t="s">
        <v>16</v>
      </c>
      <c r="J72" s="21"/>
      <c r="K72" s="18"/>
    </row>
    <row r="73" s="2" customFormat="1" ht="22.2" customHeight="1" spans="1:11">
      <c r="A73" s="16" t="s">
        <v>242</v>
      </c>
      <c r="B73" s="16" t="s">
        <v>243</v>
      </c>
      <c r="C73" s="16" t="s">
        <v>244</v>
      </c>
      <c r="D73" s="16">
        <v>2</v>
      </c>
      <c r="E73" s="16">
        <v>29.06</v>
      </c>
      <c r="F73" s="16">
        <v>0.137</v>
      </c>
      <c r="G73" s="16" t="s">
        <v>24</v>
      </c>
      <c r="H73" s="16" t="s">
        <v>15</v>
      </c>
      <c r="I73" s="16" t="s">
        <v>16</v>
      </c>
      <c r="J73" s="21"/>
      <c r="K73" s="18"/>
    </row>
    <row r="74" s="2" customFormat="1" ht="22.2" customHeight="1" spans="1:11">
      <c r="A74" s="16" t="s">
        <v>245</v>
      </c>
      <c r="B74" s="16" t="s">
        <v>246</v>
      </c>
      <c r="C74" s="16" t="s">
        <v>247</v>
      </c>
      <c r="D74" s="16">
        <v>7</v>
      </c>
      <c r="E74" s="16">
        <v>96.19</v>
      </c>
      <c r="F74" s="16">
        <v>0.861</v>
      </c>
      <c r="G74" s="16" t="s">
        <v>24</v>
      </c>
      <c r="H74" s="16" t="s">
        <v>15</v>
      </c>
      <c r="I74" s="16" t="s">
        <v>16</v>
      </c>
      <c r="J74" s="21"/>
      <c r="K74" s="18"/>
    </row>
    <row r="75" s="2" customFormat="1" ht="22.2" customHeight="1" spans="1:11">
      <c r="A75" s="16" t="s">
        <v>248</v>
      </c>
      <c r="B75" s="16" t="s">
        <v>249</v>
      </c>
      <c r="C75" s="16" t="s">
        <v>250</v>
      </c>
      <c r="D75" s="16">
        <v>3</v>
      </c>
      <c r="E75" s="16">
        <v>57.44</v>
      </c>
      <c r="F75" s="16">
        <v>0.358</v>
      </c>
      <c r="G75" s="16" t="s">
        <v>24</v>
      </c>
      <c r="H75" s="16" t="s">
        <v>15</v>
      </c>
      <c r="I75" s="16" t="s">
        <v>16</v>
      </c>
      <c r="J75" s="21"/>
      <c r="K75" s="18"/>
    </row>
    <row r="76" s="2" customFormat="1" ht="22.2" customHeight="1" spans="1:11">
      <c r="A76" s="16" t="s">
        <v>251</v>
      </c>
      <c r="B76" s="16" t="s">
        <v>252</v>
      </c>
      <c r="C76" s="16" t="s">
        <v>253</v>
      </c>
      <c r="D76" s="16">
        <v>2</v>
      </c>
      <c r="E76" s="16">
        <v>35.2</v>
      </c>
      <c r="F76" s="16">
        <v>0.166</v>
      </c>
      <c r="G76" s="16" t="s">
        <v>24</v>
      </c>
      <c r="H76" s="16" t="s">
        <v>15</v>
      </c>
      <c r="I76" s="16" t="s">
        <v>16</v>
      </c>
      <c r="J76" s="21"/>
      <c r="K76" s="18"/>
    </row>
    <row r="77" s="2" customFormat="1" ht="22.2" customHeight="1" spans="1:11">
      <c r="A77" s="16" t="s">
        <v>254</v>
      </c>
      <c r="B77" s="16" t="s">
        <v>255</v>
      </c>
      <c r="C77" s="16" t="s">
        <v>256</v>
      </c>
      <c r="D77" s="16">
        <v>3</v>
      </c>
      <c r="E77" s="16">
        <v>45.23</v>
      </c>
      <c r="F77" s="16">
        <v>0.175</v>
      </c>
      <c r="G77" s="16" t="s">
        <v>24</v>
      </c>
      <c r="H77" s="16" t="s">
        <v>15</v>
      </c>
      <c r="I77" s="16" t="s">
        <v>16</v>
      </c>
      <c r="J77" s="21"/>
      <c r="K77" s="18"/>
    </row>
    <row r="78" s="2" customFormat="1" ht="22.2" customHeight="1" spans="1:11">
      <c r="A78" s="16" t="s">
        <v>257</v>
      </c>
      <c r="B78" s="16" t="s">
        <v>258</v>
      </c>
      <c r="C78" s="16" t="s">
        <v>259</v>
      </c>
      <c r="D78" s="16">
        <v>6</v>
      </c>
      <c r="E78" s="16">
        <v>109.37</v>
      </c>
      <c r="F78" s="16">
        <v>0.809</v>
      </c>
      <c r="G78" s="16" t="s">
        <v>48</v>
      </c>
      <c r="H78" s="16" t="s">
        <v>15</v>
      </c>
      <c r="I78" s="16" t="s">
        <v>16</v>
      </c>
      <c r="J78" s="21"/>
      <c r="K78" s="18"/>
    </row>
    <row r="79" s="2" customFormat="1" ht="22.2" customHeight="1" spans="1:11">
      <c r="A79" s="16" t="s">
        <v>260</v>
      </c>
      <c r="B79" s="16" t="s">
        <v>261</v>
      </c>
      <c r="C79" s="16" t="s">
        <v>262</v>
      </c>
      <c r="D79" s="16">
        <v>1</v>
      </c>
      <c r="E79" s="16">
        <v>21.79</v>
      </c>
      <c r="F79" s="16">
        <v>0.102</v>
      </c>
      <c r="G79" s="16" t="s">
        <v>48</v>
      </c>
      <c r="H79" s="16" t="s">
        <v>15</v>
      </c>
      <c r="I79" s="16" t="s">
        <v>16</v>
      </c>
      <c r="J79" s="21"/>
      <c r="K79" s="18"/>
    </row>
    <row r="80" s="2" customFormat="1" ht="22.2" customHeight="1" spans="1:11">
      <c r="A80" s="16" t="s">
        <v>263</v>
      </c>
      <c r="B80" s="16" t="s">
        <v>264</v>
      </c>
      <c r="C80" s="16" t="s">
        <v>265</v>
      </c>
      <c r="D80" s="16">
        <v>3</v>
      </c>
      <c r="E80" s="16">
        <v>54.6</v>
      </c>
      <c r="F80" s="16">
        <v>0.276</v>
      </c>
      <c r="G80" s="16" t="s">
        <v>48</v>
      </c>
      <c r="H80" s="16" t="s">
        <v>15</v>
      </c>
      <c r="I80" s="16" t="s">
        <v>16</v>
      </c>
      <c r="J80" s="21"/>
      <c r="K80" s="18"/>
    </row>
    <row r="81" s="2" customFormat="1" ht="22.2" customHeight="1" spans="1:11">
      <c r="A81" s="16" t="s">
        <v>266</v>
      </c>
      <c r="B81" s="16" t="s">
        <v>267</v>
      </c>
      <c r="C81" s="16" t="s">
        <v>268</v>
      </c>
      <c r="D81" s="16">
        <v>2</v>
      </c>
      <c r="E81" s="16">
        <v>42.84</v>
      </c>
      <c r="F81" s="16">
        <v>0.21</v>
      </c>
      <c r="G81" s="16" t="s">
        <v>48</v>
      </c>
      <c r="H81" s="16" t="s">
        <v>15</v>
      </c>
      <c r="I81" s="16" t="s">
        <v>16</v>
      </c>
      <c r="J81" s="21"/>
      <c r="K81" s="18"/>
    </row>
    <row r="82" s="2" customFormat="1" ht="22.2" customHeight="1" spans="1:11">
      <c r="A82" s="16" t="s">
        <v>269</v>
      </c>
      <c r="B82" s="16" t="s">
        <v>270</v>
      </c>
      <c r="C82" s="16" t="s">
        <v>271</v>
      </c>
      <c r="D82" s="16">
        <v>7</v>
      </c>
      <c r="E82" s="16">
        <v>152.95</v>
      </c>
      <c r="F82" s="16">
        <v>0.851</v>
      </c>
      <c r="G82" s="16" t="s">
        <v>48</v>
      </c>
      <c r="H82" s="16" t="s">
        <v>15</v>
      </c>
      <c r="I82" s="16" t="s">
        <v>16</v>
      </c>
      <c r="J82" s="21"/>
      <c r="K82" s="18"/>
    </row>
    <row r="83" s="2" customFormat="1" ht="22.2" customHeight="1" spans="1:11">
      <c r="A83" s="16" t="s">
        <v>272</v>
      </c>
      <c r="B83" s="16" t="s">
        <v>273</v>
      </c>
      <c r="C83" s="16" t="s">
        <v>274</v>
      </c>
      <c r="D83" s="16">
        <v>1</v>
      </c>
      <c r="E83" s="16">
        <v>21.78</v>
      </c>
      <c r="F83" s="16">
        <v>0.092</v>
      </c>
      <c r="G83" s="16" t="s">
        <v>48</v>
      </c>
      <c r="H83" s="16" t="s">
        <v>15</v>
      </c>
      <c r="I83" s="16" t="s">
        <v>16</v>
      </c>
      <c r="J83" s="21"/>
      <c r="K83" s="18"/>
    </row>
    <row r="84" s="2" customFormat="1" ht="22.2" customHeight="1" spans="1:11">
      <c r="A84" s="16" t="s">
        <v>275</v>
      </c>
      <c r="B84" s="16" t="s">
        <v>276</v>
      </c>
      <c r="C84" s="16" t="s">
        <v>277</v>
      </c>
      <c r="D84" s="16">
        <v>9</v>
      </c>
      <c r="E84" s="16">
        <v>41.87</v>
      </c>
      <c r="F84" s="16">
        <v>0.497</v>
      </c>
      <c r="G84" s="16" t="s">
        <v>48</v>
      </c>
      <c r="H84" s="16" t="s">
        <v>15</v>
      </c>
      <c r="I84" s="16" t="s">
        <v>16</v>
      </c>
      <c r="J84" s="21"/>
      <c r="K84" s="18"/>
    </row>
    <row r="85" s="2" customFormat="1" ht="22.2" customHeight="1" spans="1:11">
      <c r="A85" s="16" t="s">
        <v>278</v>
      </c>
      <c r="B85" s="16" t="s">
        <v>279</v>
      </c>
      <c r="C85" s="16" t="s">
        <v>280</v>
      </c>
      <c r="D85" s="16">
        <v>3</v>
      </c>
      <c r="E85" s="16">
        <v>49.98</v>
      </c>
      <c r="F85" s="16">
        <v>0.26</v>
      </c>
      <c r="G85" s="16" t="s">
        <v>48</v>
      </c>
      <c r="H85" s="16" t="s">
        <v>15</v>
      </c>
      <c r="I85" s="16" t="s">
        <v>16</v>
      </c>
      <c r="J85" s="21"/>
      <c r="K85" s="18"/>
    </row>
    <row r="86" s="2" customFormat="1" ht="22.2" customHeight="1" spans="1:11">
      <c r="A86" s="16" t="s">
        <v>281</v>
      </c>
      <c r="B86" s="16" t="s">
        <v>282</v>
      </c>
      <c r="C86" s="16" t="s">
        <v>283</v>
      </c>
      <c r="D86" s="16">
        <v>1</v>
      </c>
      <c r="E86" s="16">
        <v>10.01</v>
      </c>
      <c r="F86" s="16">
        <v>0.152</v>
      </c>
      <c r="G86" s="16" t="s">
        <v>48</v>
      </c>
      <c r="H86" s="16" t="s">
        <v>15</v>
      </c>
      <c r="I86" s="16" t="s">
        <v>16</v>
      </c>
      <c r="J86" s="21"/>
      <c r="K86" s="18"/>
    </row>
    <row r="87" s="2" customFormat="1" ht="22.2" customHeight="1" spans="1:11">
      <c r="A87" s="16" t="s">
        <v>284</v>
      </c>
      <c r="B87" s="16" t="s">
        <v>285</v>
      </c>
      <c r="C87" s="16" t="s">
        <v>286</v>
      </c>
      <c r="D87" s="16">
        <v>1</v>
      </c>
      <c r="E87" s="16">
        <v>20.93</v>
      </c>
      <c r="F87" s="16">
        <v>0.141</v>
      </c>
      <c r="G87" s="16" t="s">
        <v>48</v>
      </c>
      <c r="H87" s="16" t="s">
        <v>15</v>
      </c>
      <c r="I87" s="16" t="s">
        <v>16</v>
      </c>
      <c r="J87" s="21"/>
      <c r="K87" s="18"/>
    </row>
    <row r="88" s="2" customFormat="1" ht="22.2" customHeight="1" spans="1:11">
      <c r="A88" s="16" t="s">
        <v>287</v>
      </c>
      <c r="B88" s="16" t="s">
        <v>288</v>
      </c>
      <c r="C88" s="16" t="s">
        <v>289</v>
      </c>
      <c r="D88" s="16">
        <v>4</v>
      </c>
      <c r="E88" s="16">
        <v>87.02</v>
      </c>
      <c r="F88" s="16">
        <v>0.475</v>
      </c>
      <c r="G88" s="16" t="s">
        <v>48</v>
      </c>
      <c r="H88" s="16" t="s">
        <v>15</v>
      </c>
      <c r="I88" s="16" t="s">
        <v>16</v>
      </c>
      <c r="J88" s="21"/>
      <c r="K88" s="18"/>
    </row>
    <row r="89" s="2" customFormat="1" ht="22.2" customHeight="1" spans="1:11">
      <c r="A89" s="16" t="s">
        <v>290</v>
      </c>
      <c r="B89" s="16" t="s">
        <v>291</v>
      </c>
      <c r="C89" s="16" t="s">
        <v>292</v>
      </c>
      <c r="D89" s="16">
        <v>2</v>
      </c>
      <c r="E89" s="16">
        <v>43.85</v>
      </c>
      <c r="F89" s="16">
        <v>0.224</v>
      </c>
      <c r="G89" s="16" t="s">
        <v>48</v>
      </c>
      <c r="H89" s="16" t="s">
        <v>15</v>
      </c>
      <c r="I89" s="16" t="s">
        <v>16</v>
      </c>
      <c r="J89" s="21"/>
      <c r="K89" s="18"/>
    </row>
    <row r="90" s="2" customFormat="1" ht="22.2" customHeight="1" spans="1:11">
      <c r="A90" s="16" t="s">
        <v>293</v>
      </c>
      <c r="B90" s="16" t="s">
        <v>294</v>
      </c>
      <c r="C90" s="16" t="s">
        <v>295</v>
      </c>
      <c r="D90" s="16">
        <v>2</v>
      </c>
      <c r="E90" s="16">
        <v>24.89</v>
      </c>
      <c r="F90" s="16">
        <v>0.225</v>
      </c>
      <c r="G90" s="16" t="s">
        <v>48</v>
      </c>
      <c r="H90" s="16" t="s">
        <v>15</v>
      </c>
      <c r="I90" s="16" t="s">
        <v>16</v>
      </c>
      <c r="J90" s="21"/>
      <c r="K90" s="18"/>
    </row>
    <row r="91" s="2" customFormat="1" ht="22.2" customHeight="1" spans="1:11">
      <c r="A91" s="16" t="s">
        <v>296</v>
      </c>
      <c r="B91" s="16" t="s">
        <v>297</v>
      </c>
      <c r="C91" s="16" t="s">
        <v>298</v>
      </c>
      <c r="D91" s="16">
        <v>1</v>
      </c>
      <c r="E91" s="16">
        <v>21.83</v>
      </c>
      <c r="F91" s="16">
        <v>0.136</v>
      </c>
      <c r="G91" s="16" t="s">
        <v>48</v>
      </c>
      <c r="H91" s="16" t="s">
        <v>15</v>
      </c>
      <c r="I91" s="16" t="s">
        <v>16</v>
      </c>
      <c r="J91" s="21"/>
      <c r="K91" s="18"/>
    </row>
    <row r="92" s="2" customFormat="1" ht="22.2" customHeight="1" spans="1:11">
      <c r="A92" s="16" t="s">
        <v>299</v>
      </c>
      <c r="B92" s="16" t="s">
        <v>300</v>
      </c>
      <c r="C92" s="16" t="s">
        <v>301</v>
      </c>
      <c r="D92" s="16">
        <v>2</v>
      </c>
      <c r="E92" s="16">
        <v>35.68</v>
      </c>
      <c r="F92" s="16">
        <v>0.241</v>
      </c>
      <c r="G92" s="16" t="s">
        <v>48</v>
      </c>
      <c r="H92" s="16" t="s">
        <v>15</v>
      </c>
      <c r="I92" s="16" t="s">
        <v>16</v>
      </c>
      <c r="J92" s="21"/>
      <c r="K92" s="18"/>
    </row>
    <row r="93" s="2" customFormat="1" ht="22.2" customHeight="1" spans="1:11">
      <c r="A93" s="16" t="s">
        <v>302</v>
      </c>
      <c r="B93" s="16" t="s">
        <v>303</v>
      </c>
      <c r="C93" s="16" t="s">
        <v>304</v>
      </c>
      <c r="D93" s="16">
        <v>1</v>
      </c>
      <c r="E93" s="16">
        <v>21.98</v>
      </c>
      <c r="F93" s="16">
        <v>0.108</v>
      </c>
      <c r="G93" s="16" t="s">
        <v>48</v>
      </c>
      <c r="H93" s="16" t="s">
        <v>15</v>
      </c>
      <c r="I93" s="16" t="s">
        <v>16</v>
      </c>
      <c r="J93" s="21"/>
      <c r="K93" s="18"/>
    </row>
    <row r="94" s="2" customFormat="1" ht="22.2" customHeight="1" spans="1:11">
      <c r="A94" s="16" t="s">
        <v>305</v>
      </c>
      <c r="B94" s="16" t="s">
        <v>306</v>
      </c>
      <c r="C94" s="16" t="s">
        <v>307</v>
      </c>
      <c r="D94" s="16">
        <v>8</v>
      </c>
      <c r="E94" s="16">
        <v>89.44</v>
      </c>
      <c r="F94" s="16">
        <v>0.999</v>
      </c>
      <c r="G94" s="16" t="s">
        <v>48</v>
      </c>
      <c r="H94" s="16" t="s">
        <v>15</v>
      </c>
      <c r="I94" s="16" t="s">
        <v>16</v>
      </c>
      <c r="J94" s="21"/>
      <c r="K94" s="18"/>
    </row>
    <row r="95" s="2" customFormat="1" ht="22.2" customHeight="1" spans="1:11">
      <c r="A95" s="16" t="s">
        <v>308</v>
      </c>
      <c r="B95" s="16" t="s">
        <v>309</v>
      </c>
      <c r="C95" s="16" t="s">
        <v>310</v>
      </c>
      <c r="D95" s="16">
        <v>1</v>
      </c>
      <c r="E95" s="16">
        <f>42.78/3*D95</f>
        <v>14.26</v>
      </c>
      <c r="F95" s="16">
        <f>0.273/3*D95</f>
        <v>0.091</v>
      </c>
      <c r="G95" s="16" t="s">
        <v>48</v>
      </c>
      <c r="H95" s="16" t="s">
        <v>15</v>
      </c>
      <c r="I95" s="16" t="s">
        <v>16</v>
      </c>
      <c r="J95" s="21"/>
      <c r="K95" s="18"/>
    </row>
    <row r="96" s="2" customFormat="1" ht="22.2" customHeight="1" spans="1:11">
      <c r="A96" s="16" t="s">
        <v>308</v>
      </c>
      <c r="B96" s="16" t="s">
        <v>311</v>
      </c>
      <c r="C96" s="32" t="s">
        <v>312</v>
      </c>
      <c r="D96" s="16">
        <v>2</v>
      </c>
      <c r="E96" s="16">
        <f>42.78/3*D96</f>
        <v>28.52</v>
      </c>
      <c r="F96" s="16">
        <f>0.273/3*D96</f>
        <v>0.182</v>
      </c>
      <c r="G96" s="16" t="s">
        <v>48</v>
      </c>
      <c r="H96" s="16" t="s">
        <v>15</v>
      </c>
      <c r="I96" s="16"/>
      <c r="J96" s="21"/>
      <c r="K96" s="18"/>
    </row>
    <row r="97" s="2" customFormat="1" ht="22.2" customHeight="1" spans="1:11">
      <c r="A97" s="16" t="s">
        <v>313</v>
      </c>
      <c r="B97" s="16" t="s">
        <v>314</v>
      </c>
      <c r="C97" s="16" t="s">
        <v>315</v>
      </c>
      <c r="D97" s="16">
        <v>4</v>
      </c>
      <c r="E97" s="16">
        <v>65.25</v>
      </c>
      <c r="F97" s="16">
        <v>0.55</v>
      </c>
      <c r="G97" s="16" t="s">
        <v>48</v>
      </c>
      <c r="H97" s="16" t="s">
        <v>15</v>
      </c>
      <c r="I97" s="16" t="s">
        <v>16</v>
      </c>
      <c r="J97" s="21"/>
      <c r="K97" s="18"/>
    </row>
    <row r="98" s="2" customFormat="1" ht="22.2" customHeight="1" spans="1:11">
      <c r="A98" s="16" t="s">
        <v>316</v>
      </c>
      <c r="B98" s="16" t="s">
        <v>317</v>
      </c>
      <c r="C98" s="16" t="s">
        <v>318</v>
      </c>
      <c r="D98" s="16">
        <v>2</v>
      </c>
      <c r="E98" s="16">
        <v>34.88</v>
      </c>
      <c r="F98" s="16">
        <v>0.152</v>
      </c>
      <c r="G98" s="16" t="s">
        <v>48</v>
      </c>
      <c r="H98" s="16" t="s">
        <v>15</v>
      </c>
      <c r="I98" s="16" t="s">
        <v>16</v>
      </c>
      <c r="J98" s="21"/>
      <c r="K98" s="18"/>
    </row>
    <row r="99" s="2" customFormat="1" ht="22.2" customHeight="1" spans="1:11">
      <c r="A99" s="16" t="s">
        <v>319</v>
      </c>
      <c r="B99" s="16" t="s">
        <v>320</v>
      </c>
      <c r="C99" s="16" t="s">
        <v>321</v>
      </c>
      <c r="D99" s="16">
        <v>4</v>
      </c>
      <c r="E99" s="16">
        <v>82.25</v>
      </c>
      <c r="F99" s="16">
        <v>0.442</v>
      </c>
      <c r="G99" s="16" t="s">
        <v>48</v>
      </c>
      <c r="H99" s="16" t="s">
        <v>15</v>
      </c>
      <c r="I99" s="16" t="s">
        <v>16</v>
      </c>
      <c r="J99" s="21"/>
      <c r="K99" s="18"/>
    </row>
    <row r="100" s="2" customFormat="1" ht="22.2" customHeight="1" spans="1:11">
      <c r="A100" s="16" t="s">
        <v>322</v>
      </c>
      <c r="B100" s="16" t="s">
        <v>323</v>
      </c>
      <c r="C100" s="16" t="s">
        <v>324</v>
      </c>
      <c r="D100" s="16">
        <v>7</v>
      </c>
      <c r="E100" s="16">
        <v>122.54</v>
      </c>
      <c r="F100" s="16">
        <v>0.445</v>
      </c>
      <c r="G100" s="16" t="s">
        <v>48</v>
      </c>
      <c r="H100" s="16" t="s">
        <v>15</v>
      </c>
      <c r="I100" s="16" t="s">
        <v>16</v>
      </c>
      <c r="J100" s="21"/>
      <c r="K100" s="18"/>
    </row>
    <row r="101" s="2" customFormat="1" ht="22.2" customHeight="1" spans="1:11">
      <c r="A101" s="16" t="s">
        <v>325</v>
      </c>
      <c r="B101" s="16" t="s">
        <v>326</v>
      </c>
      <c r="C101" s="16" t="s">
        <v>327</v>
      </c>
      <c r="D101" s="16">
        <v>8</v>
      </c>
      <c r="E101" s="16">
        <v>94</v>
      </c>
      <c r="F101" s="16">
        <v>0.229</v>
      </c>
      <c r="G101" s="16" t="s">
        <v>48</v>
      </c>
      <c r="H101" s="16" t="s">
        <v>15</v>
      </c>
      <c r="I101" s="16" t="s">
        <v>16</v>
      </c>
      <c r="J101" s="21"/>
      <c r="K101" s="18"/>
    </row>
    <row r="102" s="2" customFormat="1" ht="22.2" customHeight="1" spans="1:11">
      <c r="A102" s="16" t="s">
        <v>328</v>
      </c>
      <c r="B102" s="16" t="s">
        <v>329</v>
      </c>
      <c r="C102" s="16" t="s">
        <v>330</v>
      </c>
      <c r="D102" s="16">
        <v>5</v>
      </c>
      <c r="E102" s="16">
        <v>51.52</v>
      </c>
      <c r="F102" s="16">
        <v>0.635</v>
      </c>
      <c r="G102" s="16" t="s">
        <v>52</v>
      </c>
      <c r="H102" s="16" t="s">
        <v>15</v>
      </c>
      <c r="I102" s="16" t="s">
        <v>16</v>
      </c>
      <c r="J102" s="21"/>
      <c r="K102" s="18"/>
    </row>
    <row r="103" s="2" customFormat="1" ht="22.2" customHeight="1" spans="1:11">
      <c r="A103" s="16" t="s">
        <v>331</v>
      </c>
      <c r="B103" s="16" t="s">
        <v>332</v>
      </c>
      <c r="C103" s="16" t="s">
        <v>333</v>
      </c>
      <c r="D103" s="16">
        <v>50</v>
      </c>
      <c r="E103" s="16">
        <v>771</v>
      </c>
      <c r="F103" s="16">
        <v>6.318</v>
      </c>
      <c r="G103" s="16" t="s">
        <v>52</v>
      </c>
      <c r="H103" s="16" t="s">
        <v>15</v>
      </c>
      <c r="I103" s="16" t="s">
        <v>16</v>
      </c>
      <c r="J103" s="21"/>
      <c r="K103" s="18"/>
    </row>
    <row r="104" s="2" customFormat="1" ht="22.2" customHeight="1" spans="1:11">
      <c r="A104" s="16" t="s">
        <v>334</v>
      </c>
      <c r="B104" s="16" t="s">
        <v>335</v>
      </c>
      <c r="C104" s="16" t="s">
        <v>336</v>
      </c>
      <c r="D104" s="16">
        <v>1</v>
      </c>
      <c r="E104" s="16">
        <v>22.02</v>
      </c>
      <c r="F104" s="16">
        <v>0.087</v>
      </c>
      <c r="G104" s="16" t="s">
        <v>56</v>
      </c>
      <c r="H104" s="16" t="s">
        <v>15</v>
      </c>
      <c r="I104" s="16" t="s">
        <v>16</v>
      </c>
      <c r="J104" s="21"/>
      <c r="K104" s="18"/>
    </row>
    <row r="105" s="2" customFormat="1" ht="22.2" customHeight="1" spans="1:11">
      <c r="A105" s="16" t="s">
        <v>337</v>
      </c>
      <c r="B105" s="16" t="s">
        <v>338</v>
      </c>
      <c r="C105" s="16" t="s">
        <v>339</v>
      </c>
      <c r="D105" s="16">
        <v>8</v>
      </c>
      <c r="E105" s="16">
        <v>132.25</v>
      </c>
      <c r="F105" s="16">
        <v>0.668</v>
      </c>
      <c r="G105" s="16" t="s">
        <v>56</v>
      </c>
      <c r="H105" s="16" t="s">
        <v>15</v>
      </c>
      <c r="I105" s="16" t="s">
        <v>16</v>
      </c>
      <c r="J105" s="21"/>
      <c r="K105" s="18"/>
    </row>
    <row r="106" s="2" customFormat="1" ht="22.2" customHeight="1" spans="1:11">
      <c r="A106" s="16" t="s">
        <v>340</v>
      </c>
      <c r="B106" s="16" t="s">
        <v>341</v>
      </c>
      <c r="C106" s="16" t="s">
        <v>342</v>
      </c>
      <c r="D106" s="16">
        <v>10</v>
      </c>
      <c r="E106" s="16">
        <v>186</v>
      </c>
      <c r="F106" s="16">
        <v>1.087</v>
      </c>
      <c r="G106" s="16" t="s">
        <v>56</v>
      </c>
      <c r="H106" s="16" t="s">
        <v>15</v>
      </c>
      <c r="I106" s="16" t="s">
        <v>16</v>
      </c>
      <c r="J106" s="21"/>
      <c r="K106" s="18"/>
    </row>
    <row r="107" s="2" customFormat="1" ht="22.2" customHeight="1" spans="1:11">
      <c r="A107" s="16" t="s">
        <v>343</v>
      </c>
      <c r="B107" s="16" t="s">
        <v>344</v>
      </c>
      <c r="C107" s="16" t="s">
        <v>345</v>
      </c>
      <c r="D107" s="16">
        <v>2</v>
      </c>
      <c r="E107" s="16">
        <v>31.69</v>
      </c>
      <c r="F107" s="16">
        <v>0.107</v>
      </c>
      <c r="G107" s="16" t="s">
        <v>56</v>
      </c>
      <c r="H107" s="16" t="s">
        <v>15</v>
      </c>
      <c r="I107" s="16" t="s">
        <v>16</v>
      </c>
      <c r="J107" s="21"/>
      <c r="K107" s="18"/>
    </row>
    <row r="108" s="2" customFormat="1" ht="22.2" customHeight="1" spans="1:11">
      <c r="A108" s="16" t="s">
        <v>346</v>
      </c>
      <c r="B108" s="16" t="s">
        <v>347</v>
      </c>
      <c r="C108" s="16" t="s">
        <v>348</v>
      </c>
      <c r="D108" s="16">
        <v>2</v>
      </c>
      <c r="E108" s="16">
        <v>33.75</v>
      </c>
      <c r="F108" s="16">
        <v>0.141</v>
      </c>
      <c r="G108" s="16" t="s">
        <v>56</v>
      </c>
      <c r="H108" s="16" t="s">
        <v>15</v>
      </c>
      <c r="I108" s="16" t="s">
        <v>16</v>
      </c>
      <c r="J108" s="21"/>
      <c r="K108" s="18"/>
    </row>
    <row r="109" s="2" customFormat="1" ht="22.2" customHeight="1" spans="1:11">
      <c r="A109" s="16" t="s">
        <v>349</v>
      </c>
      <c r="B109" s="16" t="s">
        <v>350</v>
      </c>
      <c r="C109" s="16" t="s">
        <v>351</v>
      </c>
      <c r="D109" s="16">
        <v>1</v>
      </c>
      <c r="E109" s="16">
        <v>16.83</v>
      </c>
      <c r="F109" s="16">
        <v>0.132</v>
      </c>
      <c r="G109" s="16" t="s">
        <v>56</v>
      </c>
      <c r="H109" s="16" t="s">
        <v>15</v>
      </c>
      <c r="I109" s="16" t="s">
        <v>16</v>
      </c>
      <c r="J109" s="21"/>
      <c r="K109" s="18"/>
    </row>
    <row r="110" s="2" customFormat="1" ht="22.2" customHeight="1" spans="1:11">
      <c r="A110" s="16" t="s">
        <v>352</v>
      </c>
      <c r="B110" s="16" t="s">
        <v>353</v>
      </c>
      <c r="C110" s="16" t="s">
        <v>354</v>
      </c>
      <c r="D110" s="16">
        <v>10</v>
      </c>
      <c r="E110" s="16">
        <v>207.22</v>
      </c>
      <c r="F110" s="16">
        <v>0.892</v>
      </c>
      <c r="G110" s="16" t="s">
        <v>56</v>
      </c>
      <c r="H110" s="16" t="s">
        <v>15</v>
      </c>
      <c r="I110" s="16" t="s">
        <v>16</v>
      </c>
      <c r="J110" s="21"/>
      <c r="K110" s="18"/>
    </row>
    <row r="111" s="2" customFormat="1" ht="22.2" customHeight="1" spans="1:11">
      <c r="A111" s="16" t="s">
        <v>355</v>
      </c>
      <c r="B111" s="16" t="s">
        <v>356</v>
      </c>
      <c r="C111" s="16" t="s">
        <v>357</v>
      </c>
      <c r="D111" s="16">
        <v>9</v>
      </c>
      <c r="E111" s="16">
        <v>134.82</v>
      </c>
      <c r="F111" s="16">
        <v>1.094</v>
      </c>
      <c r="G111" s="16" t="s">
        <v>56</v>
      </c>
      <c r="H111" s="16" t="s">
        <v>15</v>
      </c>
      <c r="I111" s="16" t="s">
        <v>16</v>
      </c>
      <c r="J111" s="21"/>
      <c r="K111" s="18"/>
    </row>
    <row r="112" s="2" customFormat="1" ht="22.2" customHeight="1" spans="1:11">
      <c r="A112" s="16" t="s">
        <v>358</v>
      </c>
      <c r="B112" s="16" t="s">
        <v>359</v>
      </c>
      <c r="C112" s="16" t="s">
        <v>360</v>
      </c>
      <c r="D112" s="16">
        <v>2</v>
      </c>
      <c r="E112" s="16">
        <v>39.5</v>
      </c>
      <c r="F112" s="16">
        <v>0.173</v>
      </c>
      <c r="G112" s="16" t="s">
        <v>60</v>
      </c>
      <c r="H112" s="16" t="s">
        <v>15</v>
      </c>
      <c r="I112" s="16" t="s">
        <v>16</v>
      </c>
      <c r="J112" s="21"/>
      <c r="K112" s="18"/>
    </row>
    <row r="113" s="2" customFormat="1" ht="22.2" customHeight="1" spans="1:11">
      <c r="A113" s="16" t="s">
        <v>361</v>
      </c>
      <c r="B113" s="16" t="s">
        <v>362</v>
      </c>
      <c r="C113" s="16" t="s">
        <v>363</v>
      </c>
      <c r="D113" s="16">
        <v>4</v>
      </c>
      <c r="E113" s="16">
        <v>72.1</v>
      </c>
      <c r="F113" s="16">
        <v>0.373</v>
      </c>
      <c r="G113" s="16" t="s">
        <v>60</v>
      </c>
      <c r="H113" s="16" t="s">
        <v>15</v>
      </c>
      <c r="I113" s="16" t="s">
        <v>16</v>
      </c>
      <c r="J113" s="21"/>
      <c r="K113" s="18"/>
    </row>
    <row r="114" s="2" customFormat="1" ht="22.2" customHeight="1" spans="1:11">
      <c r="A114" s="16" t="s">
        <v>364</v>
      </c>
      <c r="B114" s="16" t="s">
        <v>365</v>
      </c>
      <c r="C114" s="16" t="s">
        <v>366</v>
      </c>
      <c r="D114" s="16">
        <v>4</v>
      </c>
      <c r="E114" s="16">
        <v>85.4</v>
      </c>
      <c r="F114" s="16">
        <v>0.561</v>
      </c>
      <c r="G114" s="16" t="s">
        <v>60</v>
      </c>
      <c r="H114" s="16" t="s">
        <v>15</v>
      </c>
      <c r="I114" s="16" t="s">
        <v>16</v>
      </c>
      <c r="J114" s="21"/>
      <c r="K114" s="18"/>
    </row>
    <row r="115" s="2" customFormat="1" ht="22.2" customHeight="1" spans="1:11">
      <c r="A115" s="16" t="s">
        <v>367</v>
      </c>
      <c r="B115" s="16" t="s">
        <v>368</v>
      </c>
      <c r="C115" s="16" t="s">
        <v>369</v>
      </c>
      <c r="D115" s="16">
        <v>3</v>
      </c>
      <c r="E115" s="16">
        <v>63</v>
      </c>
      <c r="F115" s="16">
        <v>0.353</v>
      </c>
      <c r="G115" s="16" t="s">
        <v>60</v>
      </c>
      <c r="H115" s="16" t="s">
        <v>15</v>
      </c>
      <c r="I115" s="16" t="s">
        <v>16</v>
      </c>
      <c r="J115" s="21"/>
      <c r="K115" s="18"/>
    </row>
    <row r="116" s="2" customFormat="1" ht="22.2" customHeight="1" spans="1:11">
      <c r="A116" s="16" t="s">
        <v>370</v>
      </c>
      <c r="B116" s="16" t="s">
        <v>371</v>
      </c>
      <c r="C116" s="16" t="s">
        <v>372</v>
      </c>
      <c r="D116" s="16">
        <v>1</v>
      </c>
      <c r="E116" s="16">
        <v>22.03</v>
      </c>
      <c r="F116" s="16">
        <v>0.095</v>
      </c>
      <c r="G116" s="16" t="s">
        <v>60</v>
      </c>
      <c r="H116" s="16" t="s">
        <v>15</v>
      </c>
      <c r="I116" s="16" t="s">
        <v>16</v>
      </c>
      <c r="J116" s="21"/>
      <c r="K116" s="18"/>
    </row>
    <row r="117" s="2" customFormat="1" ht="22.2" customHeight="1" spans="1:11">
      <c r="A117" s="16" t="s">
        <v>373</v>
      </c>
      <c r="B117" s="16" t="s">
        <v>374</v>
      </c>
      <c r="C117" s="16" t="s">
        <v>375</v>
      </c>
      <c r="D117" s="16">
        <v>8</v>
      </c>
      <c r="E117" s="16">
        <v>139.61</v>
      </c>
      <c r="F117" s="16">
        <v>0.695</v>
      </c>
      <c r="G117" s="16" t="s">
        <v>60</v>
      </c>
      <c r="H117" s="16" t="s">
        <v>15</v>
      </c>
      <c r="I117" s="16" t="s">
        <v>16</v>
      </c>
      <c r="J117" s="21"/>
      <c r="K117" s="18"/>
    </row>
    <row r="118" s="2" customFormat="1" ht="22.2" customHeight="1" spans="1:11">
      <c r="A118" s="16" t="s">
        <v>376</v>
      </c>
      <c r="B118" s="16" t="s">
        <v>377</v>
      </c>
      <c r="C118" s="16" t="s">
        <v>378</v>
      </c>
      <c r="D118" s="16">
        <v>1</v>
      </c>
      <c r="E118" s="16">
        <v>21.94</v>
      </c>
      <c r="F118" s="16">
        <v>0.134</v>
      </c>
      <c r="G118" s="16" t="s">
        <v>60</v>
      </c>
      <c r="H118" s="16" t="s">
        <v>15</v>
      </c>
      <c r="I118" s="16" t="s">
        <v>16</v>
      </c>
      <c r="J118" s="21"/>
      <c r="K118" s="18"/>
    </row>
    <row r="119" s="2" customFormat="1" ht="22.2" customHeight="1" spans="1:11">
      <c r="A119" s="16" t="s">
        <v>379</v>
      </c>
      <c r="B119" s="16" t="s">
        <v>380</v>
      </c>
      <c r="C119" s="16" t="s">
        <v>381</v>
      </c>
      <c r="D119" s="16">
        <v>10</v>
      </c>
      <c r="E119" s="16">
        <v>179</v>
      </c>
      <c r="F119" s="16">
        <v>1.22</v>
      </c>
      <c r="G119" s="16" t="s">
        <v>60</v>
      </c>
      <c r="H119" s="16" t="s">
        <v>15</v>
      </c>
      <c r="I119" s="16" t="s">
        <v>16</v>
      </c>
      <c r="J119" s="21"/>
      <c r="K119" s="18"/>
    </row>
    <row r="120" s="2" customFormat="1" ht="22.2" customHeight="1" spans="1:11">
      <c r="A120" s="16" t="s">
        <v>382</v>
      </c>
      <c r="B120" s="16" t="s">
        <v>383</v>
      </c>
      <c r="C120" s="16" t="s">
        <v>384</v>
      </c>
      <c r="D120" s="16">
        <v>7</v>
      </c>
      <c r="E120" s="16">
        <v>154.12</v>
      </c>
      <c r="F120" s="16">
        <v>0.818</v>
      </c>
      <c r="G120" s="16" t="s">
        <v>60</v>
      </c>
      <c r="H120" s="16" t="s">
        <v>15</v>
      </c>
      <c r="I120" s="16" t="s">
        <v>16</v>
      </c>
      <c r="J120" s="21"/>
      <c r="K120" s="18"/>
    </row>
    <row r="121" s="2" customFormat="1" ht="22.2" customHeight="1" spans="1:11">
      <c r="A121" s="16" t="s">
        <v>385</v>
      </c>
      <c r="B121" s="16" t="s">
        <v>386</v>
      </c>
      <c r="C121" s="16" t="s">
        <v>387</v>
      </c>
      <c r="D121" s="16">
        <v>1</v>
      </c>
      <c r="E121" s="16">
        <v>20.9</v>
      </c>
      <c r="F121" s="16">
        <v>0.107</v>
      </c>
      <c r="G121" s="16" t="s">
        <v>60</v>
      </c>
      <c r="H121" s="16" t="s">
        <v>15</v>
      </c>
      <c r="I121" s="16" t="s">
        <v>16</v>
      </c>
      <c r="J121" s="21"/>
      <c r="K121" s="18"/>
    </row>
    <row r="122" s="2" customFormat="1" ht="22.2" customHeight="1" spans="1:11">
      <c r="A122" s="16" t="s">
        <v>388</v>
      </c>
      <c r="B122" s="16" t="s">
        <v>389</v>
      </c>
      <c r="C122" s="16" t="s">
        <v>390</v>
      </c>
      <c r="D122" s="16">
        <v>1</v>
      </c>
      <c r="E122" s="16">
        <v>21.86</v>
      </c>
      <c r="F122" s="16">
        <v>0.108</v>
      </c>
      <c r="G122" s="16" t="s">
        <v>60</v>
      </c>
      <c r="H122" s="16" t="s">
        <v>15</v>
      </c>
      <c r="I122" s="16" t="s">
        <v>16</v>
      </c>
      <c r="J122" s="21"/>
      <c r="K122" s="18"/>
    </row>
    <row r="123" s="2" customFormat="1" ht="22.2" customHeight="1" spans="1:11">
      <c r="A123" s="16" t="s">
        <v>391</v>
      </c>
      <c r="B123" s="16" t="s">
        <v>392</v>
      </c>
      <c r="C123" s="16" t="s">
        <v>393</v>
      </c>
      <c r="D123" s="16">
        <v>6</v>
      </c>
      <c r="E123" s="16">
        <v>124.69</v>
      </c>
      <c r="F123" s="16">
        <v>0.252</v>
      </c>
      <c r="G123" s="16" t="s">
        <v>60</v>
      </c>
      <c r="H123" s="16" t="s">
        <v>15</v>
      </c>
      <c r="I123" s="16" t="s">
        <v>16</v>
      </c>
      <c r="J123" s="21"/>
      <c r="K123" s="18"/>
    </row>
    <row r="124" s="2" customFormat="1" ht="22.2" customHeight="1" spans="1:11">
      <c r="A124" s="16" t="s">
        <v>394</v>
      </c>
      <c r="B124" s="16" t="s">
        <v>395</v>
      </c>
      <c r="C124" s="16" t="s">
        <v>396</v>
      </c>
      <c r="D124" s="16">
        <v>3</v>
      </c>
      <c r="E124" s="16">
        <f>82.32/4*D124</f>
        <v>61.74</v>
      </c>
      <c r="F124" s="16">
        <f>0.496/4*D124</f>
        <v>0.372</v>
      </c>
      <c r="G124" s="16" t="s">
        <v>60</v>
      </c>
      <c r="H124" s="16" t="s">
        <v>15</v>
      </c>
      <c r="I124" s="16" t="s">
        <v>16</v>
      </c>
      <c r="J124" s="21"/>
      <c r="K124" s="18"/>
    </row>
    <row r="125" s="2" customFormat="1" ht="22.2" customHeight="1" spans="1:11">
      <c r="A125" s="16" t="s">
        <v>394</v>
      </c>
      <c r="B125" s="16" t="s">
        <v>397</v>
      </c>
      <c r="C125" s="16" t="s">
        <v>398</v>
      </c>
      <c r="D125" s="16">
        <v>1</v>
      </c>
      <c r="E125" s="16">
        <f>82.32/4*D125</f>
        <v>20.58</v>
      </c>
      <c r="F125" s="16">
        <f>0.496/4*D125</f>
        <v>0.124</v>
      </c>
      <c r="G125" s="16" t="s">
        <v>60</v>
      </c>
      <c r="H125" s="16" t="s">
        <v>15</v>
      </c>
      <c r="I125" s="16"/>
      <c r="J125" s="21"/>
      <c r="K125" s="18"/>
    </row>
    <row r="126" s="2" customFormat="1" ht="22.2" customHeight="1" spans="1:11">
      <c r="A126" s="16" t="s">
        <v>399</v>
      </c>
      <c r="B126" s="16" t="s">
        <v>400</v>
      </c>
      <c r="C126" s="16" t="s">
        <v>401</v>
      </c>
      <c r="D126" s="16">
        <v>3</v>
      </c>
      <c r="E126" s="16">
        <v>48</v>
      </c>
      <c r="F126" s="16">
        <v>0.32</v>
      </c>
      <c r="G126" s="16" t="s">
        <v>60</v>
      </c>
      <c r="H126" s="16" t="s">
        <v>15</v>
      </c>
      <c r="I126" s="16" t="s">
        <v>16</v>
      </c>
      <c r="J126" s="21"/>
      <c r="K126" s="18"/>
    </row>
    <row r="127" s="2" customFormat="1" ht="22.2" customHeight="1" spans="1:11">
      <c r="A127" s="16" t="s">
        <v>402</v>
      </c>
      <c r="B127" s="16" t="s">
        <v>403</v>
      </c>
      <c r="C127" s="16" t="s">
        <v>404</v>
      </c>
      <c r="D127" s="16">
        <v>3</v>
      </c>
      <c r="E127" s="16">
        <v>19.4</v>
      </c>
      <c r="F127" s="16">
        <v>0.316</v>
      </c>
      <c r="G127" s="16" t="s">
        <v>64</v>
      </c>
      <c r="H127" s="16" t="s">
        <v>15</v>
      </c>
      <c r="I127" s="16" t="s">
        <v>16</v>
      </c>
      <c r="J127" s="21"/>
      <c r="K127" s="18"/>
    </row>
    <row r="128" s="2" customFormat="1" ht="22.2" customHeight="1" spans="1:11">
      <c r="A128" s="16" t="s">
        <v>405</v>
      </c>
      <c r="B128" s="16" t="s">
        <v>406</v>
      </c>
      <c r="C128" s="16" t="s">
        <v>407</v>
      </c>
      <c r="D128" s="16">
        <v>5</v>
      </c>
      <c r="E128" s="16">
        <v>68</v>
      </c>
      <c r="F128" s="16">
        <v>0.589</v>
      </c>
      <c r="G128" s="16" t="s">
        <v>68</v>
      </c>
      <c r="H128" s="16" t="s">
        <v>15</v>
      </c>
      <c r="I128" s="16" t="s">
        <v>16</v>
      </c>
      <c r="J128" s="21"/>
      <c r="K128" s="18"/>
    </row>
    <row r="129" s="2" customFormat="1" ht="22.2" customHeight="1" spans="1:11">
      <c r="A129" s="16" t="s">
        <v>408</v>
      </c>
      <c r="B129" s="16" t="s">
        <v>409</v>
      </c>
      <c r="C129" s="16" t="s">
        <v>410</v>
      </c>
      <c r="D129" s="16">
        <v>6</v>
      </c>
      <c r="E129" s="16">
        <v>90.92</v>
      </c>
      <c r="F129" s="16">
        <v>0.35</v>
      </c>
      <c r="G129" s="16" t="s">
        <v>68</v>
      </c>
      <c r="H129" s="16" t="s">
        <v>15</v>
      </c>
      <c r="I129" s="16" t="s">
        <v>16</v>
      </c>
      <c r="J129" s="21"/>
      <c r="K129" s="18"/>
    </row>
    <row r="130" s="2" customFormat="1" ht="22.2" customHeight="1" spans="1:11">
      <c r="A130" s="16" t="s">
        <v>411</v>
      </c>
      <c r="B130" s="16" t="s">
        <v>412</v>
      </c>
      <c r="C130" s="16" t="s">
        <v>413</v>
      </c>
      <c r="D130" s="16">
        <v>6</v>
      </c>
      <c r="E130" s="16">
        <v>75.36</v>
      </c>
      <c r="F130" s="16">
        <v>0.667</v>
      </c>
      <c r="G130" s="16" t="s">
        <v>68</v>
      </c>
      <c r="H130" s="16" t="s">
        <v>15</v>
      </c>
      <c r="I130" s="16" t="s">
        <v>16</v>
      </c>
      <c r="J130" s="21"/>
      <c r="K130" s="18"/>
    </row>
    <row r="131" s="2" customFormat="1" ht="22.2" customHeight="1" spans="1:11">
      <c r="A131" s="16" t="s">
        <v>414</v>
      </c>
      <c r="B131" s="16" t="s">
        <v>415</v>
      </c>
      <c r="C131" s="16" t="s">
        <v>416</v>
      </c>
      <c r="D131" s="16">
        <v>15</v>
      </c>
      <c r="E131" s="16">
        <v>226.95</v>
      </c>
      <c r="F131" s="16">
        <v>1.526</v>
      </c>
      <c r="G131" s="16" t="s">
        <v>68</v>
      </c>
      <c r="H131" s="16" t="s">
        <v>15</v>
      </c>
      <c r="I131" s="16" t="s">
        <v>16</v>
      </c>
      <c r="J131" s="21"/>
      <c r="K131" s="18"/>
    </row>
    <row r="132" s="2" customFormat="1" ht="22.2" customHeight="1" spans="1:11">
      <c r="A132" s="16" t="s">
        <v>417</v>
      </c>
      <c r="B132" s="16" t="s">
        <v>418</v>
      </c>
      <c r="C132" s="16" t="s">
        <v>419</v>
      </c>
      <c r="D132" s="16">
        <v>6</v>
      </c>
      <c r="E132" s="16">
        <v>77.27</v>
      </c>
      <c r="F132" s="16">
        <v>0.148</v>
      </c>
      <c r="G132" s="16" t="s">
        <v>68</v>
      </c>
      <c r="H132" s="16" t="s">
        <v>15</v>
      </c>
      <c r="I132" s="16" t="s">
        <v>16</v>
      </c>
      <c r="J132" s="21"/>
      <c r="K132" s="18"/>
    </row>
    <row r="133" s="2" customFormat="1" ht="22.2" customHeight="1" spans="1:11">
      <c r="A133" s="16" t="s">
        <v>420</v>
      </c>
      <c r="B133" s="16" t="s">
        <v>421</v>
      </c>
      <c r="C133" s="16" t="s">
        <v>422</v>
      </c>
      <c r="D133" s="16">
        <v>16</v>
      </c>
      <c r="E133" s="16">
        <v>317.93</v>
      </c>
      <c r="F133" s="16">
        <v>1.827</v>
      </c>
      <c r="G133" s="16" t="s">
        <v>68</v>
      </c>
      <c r="H133" s="16" t="s">
        <v>15</v>
      </c>
      <c r="I133" s="16" t="s">
        <v>16</v>
      </c>
      <c r="J133" s="21"/>
      <c r="K133" s="18"/>
    </row>
    <row r="134" s="2" customFormat="1" ht="22.2" customHeight="1" spans="1:11">
      <c r="A134" s="16" t="s">
        <v>423</v>
      </c>
      <c r="B134" s="16" t="s">
        <v>424</v>
      </c>
      <c r="C134" s="16" t="s">
        <v>425</v>
      </c>
      <c r="D134" s="16">
        <v>2</v>
      </c>
      <c r="E134" s="16">
        <v>28.45</v>
      </c>
      <c r="F134" s="16">
        <v>0.135</v>
      </c>
      <c r="G134" s="16" t="s">
        <v>68</v>
      </c>
      <c r="H134" s="16" t="s">
        <v>15</v>
      </c>
      <c r="I134" s="16" t="s">
        <v>16</v>
      </c>
      <c r="J134" s="21"/>
      <c r="K134" s="18"/>
    </row>
    <row r="135" s="2" customFormat="1" ht="22.2" customHeight="1" spans="1:11">
      <c r="A135" s="16" t="s">
        <v>426</v>
      </c>
      <c r="B135" s="16" t="s">
        <v>427</v>
      </c>
      <c r="C135" s="16" t="s">
        <v>428</v>
      </c>
      <c r="D135" s="16">
        <v>2</v>
      </c>
      <c r="E135" s="16">
        <v>36.33</v>
      </c>
      <c r="F135" s="16">
        <v>0.188</v>
      </c>
      <c r="G135" s="16" t="s">
        <v>68</v>
      </c>
      <c r="H135" s="16" t="s">
        <v>15</v>
      </c>
      <c r="I135" s="16" t="s">
        <v>16</v>
      </c>
      <c r="J135" s="21"/>
      <c r="K135" s="18"/>
    </row>
    <row r="136" ht="22.2" customHeight="1" spans="1:11">
      <c r="A136" s="16" t="s">
        <v>429</v>
      </c>
      <c r="B136" s="16" t="s">
        <v>430</v>
      </c>
      <c r="C136" s="16" t="s">
        <v>431</v>
      </c>
      <c r="D136" s="16">
        <v>4</v>
      </c>
      <c r="E136" s="16">
        <v>78.82</v>
      </c>
      <c r="F136" s="16">
        <v>0.416</v>
      </c>
      <c r="G136" s="16" t="s">
        <v>68</v>
      </c>
      <c r="H136" s="16" t="s">
        <v>15</v>
      </c>
      <c r="I136" s="16" t="s">
        <v>16</v>
      </c>
      <c r="J136" s="33"/>
    </row>
    <row r="137" ht="22.2" customHeight="1" spans="1:11">
      <c r="A137" s="16" t="s">
        <v>432</v>
      </c>
      <c r="B137" s="16" t="s">
        <v>433</v>
      </c>
      <c r="C137" s="16" t="s">
        <v>434</v>
      </c>
      <c r="D137" s="16">
        <v>26</v>
      </c>
      <c r="E137" s="16">
        <v>560.82</v>
      </c>
      <c r="F137" s="16">
        <v>2.376</v>
      </c>
      <c r="G137" s="16" t="s">
        <v>68</v>
      </c>
      <c r="H137" s="16" t="s">
        <v>15</v>
      </c>
      <c r="I137" s="16" t="s">
        <v>16</v>
      </c>
      <c r="J137" s="33"/>
    </row>
    <row r="138" ht="22.2" customHeight="1" spans="1:11">
      <c r="A138" s="16" t="s">
        <v>435</v>
      </c>
      <c r="B138" s="16" t="s">
        <v>436</v>
      </c>
      <c r="C138" s="16" t="s">
        <v>437</v>
      </c>
      <c r="D138" s="16">
        <v>5</v>
      </c>
      <c r="E138" s="16">
        <v>80.53</v>
      </c>
      <c r="F138" s="16">
        <v>0.377</v>
      </c>
      <c r="G138" s="16" t="s">
        <v>68</v>
      </c>
      <c r="H138" s="16" t="s">
        <v>15</v>
      </c>
      <c r="I138" s="16" t="s">
        <v>16</v>
      </c>
      <c r="J138" s="33"/>
    </row>
    <row r="139" ht="22.2" customHeight="1" spans="1:11">
      <c r="A139" s="16" t="s">
        <v>438</v>
      </c>
      <c r="B139" s="16" t="s">
        <v>439</v>
      </c>
      <c r="C139" s="16" t="s">
        <v>440</v>
      </c>
      <c r="D139" s="16">
        <v>6</v>
      </c>
      <c r="E139" s="16">
        <v>131.25</v>
      </c>
      <c r="F139" s="16">
        <v>0.655</v>
      </c>
      <c r="G139" s="16" t="s">
        <v>68</v>
      </c>
      <c r="H139" s="16" t="s">
        <v>15</v>
      </c>
      <c r="I139" s="16" t="s">
        <v>16</v>
      </c>
      <c r="J139" s="33"/>
    </row>
    <row r="140" ht="22.2" customHeight="1" spans="1:11">
      <c r="A140" s="16" t="s">
        <v>441</v>
      </c>
      <c r="B140" s="16" t="s">
        <v>442</v>
      </c>
      <c r="C140" s="16" t="s">
        <v>443</v>
      </c>
      <c r="D140" s="16">
        <v>10</v>
      </c>
      <c r="E140" s="16">
        <v>159.03</v>
      </c>
      <c r="F140" s="16">
        <v>1.013</v>
      </c>
      <c r="G140" s="16" t="s">
        <v>68</v>
      </c>
      <c r="H140" s="16" t="s">
        <v>15</v>
      </c>
      <c r="I140" s="16" t="s">
        <v>16</v>
      </c>
      <c r="J140" s="33"/>
    </row>
    <row r="141" ht="22.2" customHeight="1" spans="1:11">
      <c r="A141" s="16" t="s">
        <v>444</v>
      </c>
      <c r="B141" s="16" t="s">
        <v>445</v>
      </c>
      <c r="C141" s="16" t="s">
        <v>446</v>
      </c>
      <c r="D141" s="16">
        <v>9</v>
      </c>
      <c r="E141" s="16">
        <v>169.92</v>
      </c>
      <c r="F141" s="16">
        <v>0.981</v>
      </c>
      <c r="G141" s="16" t="s">
        <v>68</v>
      </c>
      <c r="H141" s="16" t="s">
        <v>15</v>
      </c>
      <c r="I141" s="16" t="s">
        <v>16</v>
      </c>
      <c r="J141" s="33"/>
    </row>
    <row r="142" ht="22.2" customHeight="1" spans="1:11">
      <c r="A142" s="16" t="s">
        <v>447</v>
      </c>
      <c r="B142" s="16" t="s">
        <v>448</v>
      </c>
      <c r="C142" s="16" t="s">
        <v>449</v>
      </c>
      <c r="D142" s="16">
        <v>8</v>
      </c>
      <c r="E142" s="16">
        <v>162</v>
      </c>
      <c r="F142" s="16">
        <v>1.02</v>
      </c>
      <c r="G142" s="16" t="s">
        <v>68</v>
      </c>
      <c r="H142" s="16" t="s">
        <v>15</v>
      </c>
      <c r="I142" s="16" t="s">
        <v>16</v>
      </c>
      <c r="J142" s="33"/>
    </row>
    <row r="143" ht="22.2" customHeight="1" spans="1:11">
      <c r="A143" s="16" t="s">
        <v>450</v>
      </c>
      <c r="B143" s="16" t="s">
        <v>451</v>
      </c>
      <c r="C143" s="16" t="s">
        <v>452</v>
      </c>
      <c r="D143" s="16">
        <v>1</v>
      </c>
      <c r="E143" s="16">
        <v>21.97</v>
      </c>
      <c r="F143" s="16">
        <v>0.129</v>
      </c>
      <c r="G143" s="16" t="s">
        <v>68</v>
      </c>
      <c r="H143" s="16" t="s">
        <v>15</v>
      </c>
      <c r="I143" s="16" t="s">
        <v>16</v>
      </c>
      <c r="J143" s="33"/>
    </row>
    <row r="144" ht="22.2" customHeight="1" spans="1:11">
      <c r="A144" s="16" t="s">
        <v>453</v>
      </c>
      <c r="B144" s="16" t="s">
        <v>454</v>
      </c>
      <c r="C144" s="16" t="s">
        <v>455</v>
      </c>
      <c r="D144" s="16">
        <v>9</v>
      </c>
      <c r="E144" s="16">
        <v>156.29</v>
      </c>
      <c r="F144" s="16">
        <v>0.524</v>
      </c>
      <c r="G144" s="16" t="s">
        <v>68</v>
      </c>
      <c r="H144" s="16" t="s">
        <v>15</v>
      </c>
      <c r="I144" s="16" t="s">
        <v>16</v>
      </c>
      <c r="J144" s="33"/>
    </row>
    <row r="145" ht="22.2" customHeight="1" spans="1:10">
      <c r="A145" s="16" t="s">
        <v>456</v>
      </c>
      <c r="B145" s="16" t="s">
        <v>457</v>
      </c>
      <c r="C145" s="16" t="s">
        <v>458</v>
      </c>
      <c r="D145" s="16">
        <v>5</v>
      </c>
      <c r="E145" s="16">
        <v>71.49</v>
      </c>
      <c r="F145" s="16">
        <v>0.552</v>
      </c>
      <c r="G145" s="16" t="s">
        <v>68</v>
      </c>
      <c r="H145" s="16" t="s">
        <v>15</v>
      </c>
      <c r="I145" s="16" t="s">
        <v>16</v>
      </c>
      <c r="J145" s="33"/>
    </row>
    <row r="146" ht="22.2" customHeight="1" spans="1:10">
      <c r="A146" s="16" t="s">
        <v>459</v>
      </c>
      <c r="B146" s="16" t="s">
        <v>460</v>
      </c>
      <c r="C146" s="16" t="s">
        <v>461</v>
      </c>
      <c r="D146" s="16">
        <v>2</v>
      </c>
      <c r="E146" s="16">
        <v>34.87</v>
      </c>
      <c r="F146" s="16">
        <v>0.191</v>
      </c>
      <c r="G146" s="16" t="s">
        <v>68</v>
      </c>
      <c r="H146" s="16" t="s">
        <v>15</v>
      </c>
      <c r="I146" s="16" t="s">
        <v>16</v>
      </c>
      <c r="J146" s="33"/>
    </row>
    <row r="147" ht="22.2" customHeight="1" spans="1:10">
      <c r="A147" s="16" t="s">
        <v>462</v>
      </c>
      <c r="B147" s="16" t="s">
        <v>463</v>
      </c>
      <c r="C147" s="16" t="s">
        <v>464</v>
      </c>
      <c r="D147" s="16">
        <v>3</v>
      </c>
      <c r="E147" s="16">
        <v>60.41</v>
      </c>
      <c r="F147" s="16">
        <v>0.276</v>
      </c>
      <c r="G147" s="16" t="s">
        <v>68</v>
      </c>
      <c r="H147" s="16" t="s">
        <v>15</v>
      </c>
      <c r="I147" s="16" t="s">
        <v>16</v>
      </c>
      <c r="J147" s="33"/>
    </row>
    <row r="148" ht="22.2" customHeight="1" spans="1:10">
      <c r="A148" s="16" t="s">
        <v>465</v>
      </c>
      <c r="B148" s="16" t="s">
        <v>466</v>
      </c>
      <c r="C148" s="16" t="s">
        <v>467</v>
      </c>
      <c r="D148" s="16">
        <v>6</v>
      </c>
      <c r="E148" s="16">
        <v>99.52</v>
      </c>
      <c r="F148" s="16">
        <v>0.28</v>
      </c>
      <c r="G148" s="16" t="s">
        <v>68</v>
      </c>
      <c r="H148" s="16" t="s">
        <v>15</v>
      </c>
      <c r="I148" s="16" t="s">
        <v>16</v>
      </c>
      <c r="J148" s="33"/>
    </row>
    <row r="149" ht="22.2" customHeight="1" spans="1:10">
      <c r="A149" s="16" t="s">
        <v>468</v>
      </c>
      <c r="B149" s="16" t="s">
        <v>469</v>
      </c>
      <c r="C149" s="16" t="s">
        <v>470</v>
      </c>
      <c r="D149" s="16">
        <v>4</v>
      </c>
      <c r="E149" s="16">
        <v>76.99</v>
      </c>
      <c r="F149" s="16">
        <v>0.362</v>
      </c>
      <c r="G149" s="16" t="s">
        <v>68</v>
      </c>
      <c r="H149" s="16" t="s">
        <v>15</v>
      </c>
      <c r="I149" s="16" t="s">
        <v>16</v>
      </c>
      <c r="J149" s="33"/>
    </row>
    <row r="150" ht="22.2" customHeight="1" spans="1:10">
      <c r="A150" s="16" t="s">
        <v>471</v>
      </c>
      <c r="B150" s="16" t="s">
        <v>472</v>
      </c>
      <c r="C150" s="16" t="s">
        <v>473</v>
      </c>
      <c r="D150" s="16">
        <v>20</v>
      </c>
      <c r="E150" s="16">
        <v>334</v>
      </c>
      <c r="F150" s="16">
        <v>2.315</v>
      </c>
      <c r="G150" s="16" t="s">
        <v>68</v>
      </c>
      <c r="H150" s="16" t="s">
        <v>15</v>
      </c>
      <c r="I150" s="16" t="s">
        <v>16</v>
      </c>
      <c r="J150" s="34"/>
    </row>
    <row r="151" ht="22.2" customHeight="1" spans="1:10">
      <c r="A151" s="16" t="s">
        <v>474</v>
      </c>
      <c r="B151" s="16" t="s">
        <v>475</v>
      </c>
      <c r="C151" s="16" t="s">
        <v>476</v>
      </c>
      <c r="D151" s="16">
        <v>21</v>
      </c>
      <c r="E151" s="16">
        <v>259.98</v>
      </c>
      <c r="F151" s="16">
        <v>1.932</v>
      </c>
      <c r="G151" s="16" t="s">
        <v>68</v>
      </c>
      <c r="H151" s="16" t="s">
        <v>15</v>
      </c>
      <c r="I151" s="16" t="s">
        <v>16</v>
      </c>
      <c r="J151" s="33"/>
    </row>
    <row r="152" ht="22.2" customHeight="1" spans="1:10">
      <c r="A152" s="16" t="s">
        <v>477</v>
      </c>
      <c r="B152" s="16" t="s">
        <v>478</v>
      </c>
      <c r="C152" s="16" t="s">
        <v>479</v>
      </c>
      <c r="D152" s="16">
        <v>4</v>
      </c>
      <c r="E152" s="16">
        <v>77.53</v>
      </c>
      <c r="F152" s="16">
        <v>0.545</v>
      </c>
      <c r="G152" s="16" t="s">
        <v>68</v>
      </c>
      <c r="H152" s="16" t="s">
        <v>15</v>
      </c>
      <c r="I152" s="16" t="s">
        <v>16</v>
      </c>
      <c r="J152" s="33"/>
    </row>
    <row r="153" ht="22.2" customHeight="1" spans="1:10">
      <c r="A153" s="16" t="s">
        <v>480</v>
      </c>
      <c r="B153" s="16" t="s">
        <v>481</v>
      </c>
      <c r="C153" s="16" t="s">
        <v>482</v>
      </c>
      <c r="D153" s="16">
        <v>3</v>
      </c>
      <c r="E153" s="16">
        <v>57.1</v>
      </c>
      <c r="F153" s="16">
        <v>0.409</v>
      </c>
      <c r="G153" s="16" t="s">
        <v>68</v>
      </c>
      <c r="H153" s="16" t="s">
        <v>15</v>
      </c>
      <c r="I153" s="16" t="s">
        <v>16</v>
      </c>
      <c r="J153" s="33"/>
    </row>
    <row r="154" ht="22.2" customHeight="1" spans="1:10">
      <c r="A154" s="16" t="s">
        <v>483</v>
      </c>
      <c r="B154" s="16" t="s">
        <v>484</v>
      </c>
      <c r="C154" s="16" t="s">
        <v>485</v>
      </c>
      <c r="D154" s="16">
        <v>6</v>
      </c>
      <c r="E154" s="16">
        <v>117.79</v>
      </c>
      <c r="F154" s="16">
        <v>0.621</v>
      </c>
      <c r="G154" s="16" t="s">
        <v>68</v>
      </c>
      <c r="H154" s="16" t="s">
        <v>15</v>
      </c>
      <c r="I154" s="16" t="s">
        <v>16</v>
      </c>
      <c r="J154" s="33"/>
    </row>
    <row r="155" ht="22.2" customHeight="1" spans="1:10">
      <c r="A155" s="16" t="s">
        <v>486</v>
      </c>
      <c r="B155" s="16" t="s">
        <v>487</v>
      </c>
      <c r="C155" s="16" t="s">
        <v>488</v>
      </c>
      <c r="D155" s="16">
        <v>1</v>
      </c>
      <c r="E155" s="16">
        <v>22.04</v>
      </c>
      <c r="F155" s="16">
        <v>0.11</v>
      </c>
      <c r="G155" s="16" t="s">
        <v>68</v>
      </c>
      <c r="H155" s="16" t="s">
        <v>15</v>
      </c>
      <c r="I155" s="16" t="s">
        <v>16</v>
      </c>
      <c r="J155" s="33"/>
    </row>
    <row r="156" ht="22.2" customHeight="1" spans="1:10">
      <c r="A156" s="16" t="s">
        <v>489</v>
      </c>
      <c r="B156" s="16" t="s">
        <v>490</v>
      </c>
      <c r="C156" s="16" t="s">
        <v>491</v>
      </c>
      <c r="D156" s="16">
        <v>6</v>
      </c>
      <c r="E156" s="16">
        <v>115.78</v>
      </c>
      <c r="F156" s="16">
        <v>0.146</v>
      </c>
      <c r="G156" s="16" t="s">
        <v>68</v>
      </c>
      <c r="H156" s="16" t="s">
        <v>15</v>
      </c>
      <c r="I156" s="16" t="s">
        <v>16</v>
      </c>
      <c r="J156" s="33"/>
    </row>
    <row r="157" ht="22.2" customHeight="1" spans="1:10">
      <c r="A157" s="16" t="s">
        <v>492</v>
      </c>
      <c r="B157" s="16" t="s">
        <v>493</v>
      </c>
      <c r="C157" s="16" t="s">
        <v>494</v>
      </c>
      <c r="D157" s="16">
        <v>3</v>
      </c>
      <c r="E157" s="16">
        <v>54.42</v>
      </c>
      <c r="F157" s="16">
        <v>0.264</v>
      </c>
      <c r="G157" s="16" t="s">
        <v>68</v>
      </c>
      <c r="H157" s="16" t="s">
        <v>15</v>
      </c>
      <c r="I157" s="16" t="s">
        <v>16</v>
      </c>
      <c r="J157" s="33"/>
    </row>
    <row r="158" ht="22.2" customHeight="1" spans="1:10">
      <c r="A158" s="16" t="s">
        <v>495</v>
      </c>
      <c r="B158" s="16" t="s">
        <v>496</v>
      </c>
      <c r="C158" s="16" t="s">
        <v>497</v>
      </c>
      <c r="D158" s="16">
        <v>23</v>
      </c>
      <c r="E158" s="16">
        <v>448.96</v>
      </c>
      <c r="F158" s="16">
        <v>2.088</v>
      </c>
      <c r="G158" s="16" t="s">
        <v>68</v>
      </c>
      <c r="H158" s="16" t="s">
        <v>15</v>
      </c>
      <c r="I158" s="16" t="s">
        <v>16</v>
      </c>
      <c r="J158" s="33"/>
    </row>
    <row r="159" ht="22.2" customHeight="1" spans="1:10">
      <c r="A159" s="16" t="s">
        <v>498</v>
      </c>
      <c r="B159" s="16" t="s">
        <v>499</v>
      </c>
      <c r="C159" s="16" t="s">
        <v>500</v>
      </c>
      <c r="D159" s="16">
        <v>5</v>
      </c>
      <c r="E159" s="16">
        <v>68.91</v>
      </c>
      <c r="F159" s="16">
        <v>0.431</v>
      </c>
      <c r="G159" s="16" t="s">
        <v>68</v>
      </c>
      <c r="H159" s="16" t="s">
        <v>15</v>
      </c>
      <c r="I159" s="16" t="s">
        <v>16</v>
      </c>
      <c r="J159" s="33"/>
    </row>
    <row r="160" ht="109" customHeight="1" spans="1:10">
      <c r="A160" s="29" t="s">
        <v>72</v>
      </c>
      <c r="B160" s="29" t="s">
        <v>16</v>
      </c>
      <c r="C160" s="29" t="s">
        <v>16</v>
      </c>
      <c r="D160" s="29">
        <v>1</v>
      </c>
      <c r="E160" s="29">
        <v>94</v>
      </c>
      <c r="F160" s="29">
        <v>1.931</v>
      </c>
      <c r="G160" s="29" t="s">
        <v>501</v>
      </c>
      <c r="H160" s="29" t="s">
        <v>502</v>
      </c>
      <c r="I160" s="29" t="s">
        <v>503</v>
      </c>
      <c r="J160" s="33"/>
    </row>
    <row r="161" ht="109" customHeight="1" spans="1:10">
      <c r="A161" s="29" t="s">
        <v>76</v>
      </c>
      <c r="B161" s="29" t="s">
        <v>16</v>
      </c>
      <c r="C161" s="29" t="s">
        <v>16</v>
      </c>
      <c r="D161" s="29">
        <v>21</v>
      </c>
      <c r="E161" s="29">
        <v>432.6</v>
      </c>
      <c r="F161" s="29">
        <v>1.814</v>
      </c>
      <c r="G161" s="29" t="s">
        <v>504</v>
      </c>
      <c r="H161" s="29" t="s">
        <v>502</v>
      </c>
      <c r="I161" s="29" t="s">
        <v>505</v>
      </c>
      <c r="J161" s="33"/>
    </row>
    <row r="162" ht="109" customHeight="1" spans="1:10">
      <c r="A162" s="29" t="s">
        <v>80</v>
      </c>
      <c r="B162" s="29" t="s">
        <v>16</v>
      </c>
      <c r="C162" s="29" t="s">
        <v>16</v>
      </c>
      <c r="D162" s="29">
        <v>15</v>
      </c>
      <c r="E162" s="29">
        <v>225.9</v>
      </c>
      <c r="F162" s="29">
        <v>1.074</v>
      </c>
      <c r="G162" s="29" t="s">
        <v>506</v>
      </c>
      <c r="H162" s="29" t="s">
        <v>502</v>
      </c>
      <c r="I162" s="29" t="s">
        <v>505</v>
      </c>
      <c r="J162" s="33"/>
    </row>
    <row r="163" ht="109" customHeight="1" spans="1:10">
      <c r="A163" s="29" t="s">
        <v>84</v>
      </c>
      <c r="B163" s="29" t="s">
        <v>16</v>
      </c>
      <c r="C163" s="29" t="s">
        <v>16</v>
      </c>
      <c r="D163" s="29">
        <v>1</v>
      </c>
      <c r="E163" s="29">
        <v>8.67</v>
      </c>
      <c r="F163" s="29">
        <v>0.073</v>
      </c>
      <c r="G163" s="29" t="s">
        <v>507</v>
      </c>
      <c r="H163" s="29" t="s">
        <v>502</v>
      </c>
      <c r="I163" s="35">
        <v>119</v>
      </c>
      <c r="J163" s="33"/>
    </row>
    <row r="164" ht="22.2" customHeight="1" spans="1:10">
      <c r="A164" s="16" t="s">
        <v>508</v>
      </c>
      <c r="B164" s="16" t="s">
        <v>509</v>
      </c>
      <c r="C164" s="16" t="s">
        <v>510</v>
      </c>
      <c r="D164" s="16">
        <v>2</v>
      </c>
      <c r="E164" s="16">
        <v>33.95</v>
      </c>
      <c r="F164" s="16">
        <v>0.195</v>
      </c>
      <c r="G164" s="16" t="s">
        <v>88</v>
      </c>
      <c r="H164" s="16" t="s">
        <v>511</v>
      </c>
      <c r="I164" s="16" t="s">
        <v>512</v>
      </c>
      <c r="J164" s="33"/>
    </row>
    <row r="165" ht="22.2" customHeight="1" spans="1:10">
      <c r="A165" s="16" t="s">
        <v>513</v>
      </c>
      <c r="B165" s="16" t="s">
        <v>16</v>
      </c>
      <c r="C165" s="16" t="s">
        <v>16</v>
      </c>
      <c r="D165" s="16">
        <v>2</v>
      </c>
      <c r="E165" s="16">
        <v>27.2</v>
      </c>
      <c r="F165" s="16">
        <v>0.27</v>
      </c>
      <c r="G165" s="16" t="s">
        <v>88</v>
      </c>
      <c r="H165" s="16" t="s">
        <v>511</v>
      </c>
      <c r="I165" s="16" t="s">
        <v>514</v>
      </c>
      <c r="J165" s="33"/>
    </row>
    <row r="166" ht="22.2" customHeight="1" spans="1:10">
      <c r="A166" s="16" t="s">
        <v>515</v>
      </c>
      <c r="B166" s="16" t="s">
        <v>516</v>
      </c>
      <c r="C166" s="16" t="s">
        <v>517</v>
      </c>
      <c r="D166" s="16">
        <v>2</v>
      </c>
      <c r="E166" s="16">
        <v>29.35</v>
      </c>
      <c r="F166" s="16">
        <v>0.146</v>
      </c>
      <c r="G166" s="16" t="s">
        <v>88</v>
      </c>
      <c r="H166" s="16" t="s">
        <v>511</v>
      </c>
      <c r="I166" s="16" t="s">
        <v>518</v>
      </c>
      <c r="J166" s="33"/>
    </row>
    <row r="167" ht="22.2" customHeight="1" spans="1:10">
      <c r="A167" s="16" t="s">
        <v>519</v>
      </c>
      <c r="B167" s="16" t="s">
        <v>520</v>
      </c>
      <c r="C167" s="16" t="s">
        <v>521</v>
      </c>
      <c r="D167" s="16">
        <v>1</v>
      </c>
      <c r="E167" s="16">
        <v>20.9</v>
      </c>
      <c r="F167" s="16">
        <v>0.039</v>
      </c>
      <c r="G167" s="16" t="s">
        <v>88</v>
      </c>
      <c r="H167" s="16" t="s">
        <v>511</v>
      </c>
      <c r="I167" s="16" t="s">
        <v>522</v>
      </c>
      <c r="J167" s="33"/>
    </row>
    <row r="168" ht="22.2" customHeight="1" spans="1:10">
      <c r="A168" s="16" t="s">
        <v>523</v>
      </c>
      <c r="B168" s="16" t="s">
        <v>524</v>
      </c>
      <c r="C168" s="16" t="s">
        <v>525</v>
      </c>
      <c r="D168" s="16">
        <v>3</v>
      </c>
      <c r="E168" s="16">
        <v>46.29</v>
      </c>
      <c r="F168" s="16">
        <v>0.154</v>
      </c>
      <c r="G168" s="16" t="s">
        <v>88</v>
      </c>
      <c r="H168" s="16" t="s">
        <v>511</v>
      </c>
      <c r="I168" s="16" t="s">
        <v>526</v>
      </c>
      <c r="J168" s="33"/>
    </row>
    <row r="169" ht="22.2" customHeight="1" spans="1:10">
      <c r="A169" s="16" t="s">
        <v>527</v>
      </c>
      <c r="B169" s="16" t="s">
        <v>16</v>
      </c>
      <c r="C169" s="16" t="s">
        <v>16</v>
      </c>
      <c r="D169" s="16">
        <v>3</v>
      </c>
      <c r="E169" s="16">
        <v>33.63</v>
      </c>
      <c r="F169" s="16">
        <v>0.275</v>
      </c>
      <c r="G169" s="16" t="s">
        <v>88</v>
      </c>
      <c r="H169" s="16" t="s">
        <v>511</v>
      </c>
      <c r="I169" s="16" t="s">
        <v>528</v>
      </c>
      <c r="J169" s="33"/>
    </row>
    <row r="170" ht="22.2" customHeight="1" spans="1:10">
      <c r="A170" s="16" t="s">
        <v>529</v>
      </c>
      <c r="B170" s="16" t="s">
        <v>530</v>
      </c>
      <c r="C170" s="16" t="s">
        <v>531</v>
      </c>
      <c r="D170" s="16">
        <v>3</v>
      </c>
      <c r="E170" s="16">
        <v>46.65</v>
      </c>
      <c r="F170" s="16">
        <v>0.15</v>
      </c>
      <c r="G170" s="16" t="s">
        <v>88</v>
      </c>
      <c r="H170" s="16" t="s">
        <v>511</v>
      </c>
      <c r="I170" s="16" t="s">
        <v>532</v>
      </c>
      <c r="J170" s="33"/>
    </row>
    <row r="171" ht="22.2" customHeight="1" spans="1:10">
      <c r="A171" s="16" t="s">
        <v>533</v>
      </c>
      <c r="B171" s="16" t="s">
        <v>534</v>
      </c>
      <c r="C171" s="16" t="s">
        <v>535</v>
      </c>
      <c r="D171" s="16">
        <v>1</v>
      </c>
      <c r="E171" s="16">
        <v>20.17</v>
      </c>
      <c r="F171" s="16">
        <v>0.065</v>
      </c>
      <c r="G171" s="16" t="s">
        <v>88</v>
      </c>
      <c r="H171" s="16" t="s">
        <v>511</v>
      </c>
      <c r="I171" s="16" t="s">
        <v>536</v>
      </c>
      <c r="J171" s="33"/>
    </row>
    <row r="172" ht="22.2" customHeight="1" spans="1:10">
      <c r="A172" s="36"/>
      <c r="B172" s="37"/>
      <c r="C172" s="17"/>
      <c r="D172" s="38"/>
      <c r="E172" s="39"/>
      <c r="F172" s="39"/>
      <c r="G172" s="40"/>
      <c r="H172" s="17"/>
      <c r="I172" s="41"/>
      <c r="J172" s="33"/>
    </row>
    <row r="173" ht="22.2" customHeight="1" spans="1:10">
      <c r="A173" s="36"/>
      <c r="B173" s="37"/>
      <c r="C173" s="17"/>
      <c r="D173" s="38"/>
      <c r="E173" s="39"/>
      <c r="F173" s="39"/>
      <c r="G173" s="40"/>
      <c r="H173" s="17"/>
      <c r="I173" s="41"/>
      <c r="J173" s="33"/>
    </row>
    <row r="174" ht="22.2" customHeight="1" spans="1:10">
      <c r="A174" s="36"/>
      <c r="B174" s="37"/>
      <c r="C174" s="17"/>
      <c r="D174" s="38"/>
      <c r="E174" s="39"/>
      <c r="F174" s="39"/>
      <c r="G174" s="40"/>
      <c r="H174" s="17"/>
      <c r="I174" s="41"/>
      <c r="J174" s="33"/>
    </row>
    <row r="175" ht="22.2" customHeight="1" spans="1:10">
      <c r="A175" s="36"/>
      <c r="B175" s="37"/>
      <c r="C175" s="17"/>
      <c r="D175" s="38"/>
      <c r="E175" s="39"/>
      <c r="F175" s="39"/>
      <c r="G175" s="40"/>
      <c r="H175" s="17"/>
      <c r="I175" s="41"/>
      <c r="J175" s="33"/>
    </row>
    <row r="176" ht="22.2" customHeight="1" spans="1:10">
      <c r="A176" s="36"/>
      <c r="B176" s="37"/>
      <c r="C176" s="17"/>
      <c r="D176" s="38"/>
      <c r="E176" s="39"/>
      <c r="F176" s="39"/>
      <c r="G176" s="40"/>
      <c r="H176" s="17"/>
      <c r="I176" s="41"/>
      <c r="J176" s="33"/>
    </row>
    <row r="177" ht="22.2" customHeight="1" spans="1:10">
      <c r="A177" s="36"/>
      <c r="B177" s="37"/>
      <c r="C177" s="17"/>
      <c r="D177" s="38"/>
      <c r="E177" s="39"/>
      <c r="F177" s="39"/>
      <c r="G177" s="40"/>
      <c r="H177" s="17"/>
      <c r="I177" s="41"/>
      <c r="J177" s="33"/>
    </row>
    <row r="178" ht="22.2" customHeight="1" spans="1:10">
      <c r="A178" s="36"/>
      <c r="B178" s="37"/>
      <c r="C178" s="17"/>
      <c r="D178" s="38"/>
      <c r="E178" s="39"/>
      <c r="F178" s="39"/>
      <c r="G178" s="40"/>
      <c r="H178" s="17"/>
      <c r="I178" s="41"/>
      <c r="J178" s="33"/>
    </row>
    <row r="179" ht="22.2" customHeight="1" spans="1:10">
      <c r="A179" s="36"/>
      <c r="B179" s="37"/>
      <c r="C179" s="17"/>
      <c r="D179" s="38"/>
      <c r="E179" s="39"/>
      <c r="F179" s="39"/>
      <c r="G179" s="40"/>
      <c r="H179" s="17"/>
      <c r="I179" s="41"/>
      <c r="J179" s="33"/>
    </row>
    <row r="180" ht="22.2" customHeight="1" spans="1:10">
      <c r="A180" s="36"/>
      <c r="B180" s="37"/>
      <c r="C180" s="17"/>
      <c r="D180" s="38"/>
      <c r="E180" s="39"/>
      <c r="F180" s="39"/>
      <c r="G180" s="40"/>
      <c r="H180" s="17"/>
      <c r="I180" s="41"/>
      <c r="J180" s="33"/>
    </row>
    <row r="181" ht="22.2" customHeight="1" spans="1:10">
      <c r="A181" s="36"/>
      <c r="B181" s="37"/>
      <c r="C181" s="17"/>
      <c r="D181" s="38"/>
      <c r="E181" s="39"/>
      <c r="F181" s="39"/>
      <c r="G181" s="40"/>
      <c r="H181" s="17"/>
      <c r="I181" s="41"/>
      <c r="J181" s="33"/>
    </row>
    <row r="182" ht="22.2" customHeight="1" spans="1:10">
      <c r="A182" s="36"/>
      <c r="B182" s="37"/>
      <c r="C182" s="17"/>
      <c r="D182" s="38"/>
      <c r="E182" s="39"/>
      <c r="F182" s="39"/>
      <c r="G182" s="40"/>
      <c r="H182" s="17"/>
      <c r="I182" s="41"/>
      <c r="J182" s="33"/>
    </row>
    <row r="183" ht="22.2" customHeight="1" spans="1:10">
      <c r="A183" s="36"/>
      <c r="B183" s="37"/>
      <c r="C183" s="17"/>
      <c r="D183" s="38"/>
      <c r="E183" s="39"/>
      <c r="F183" s="39"/>
      <c r="G183" s="40"/>
      <c r="H183" s="17"/>
      <c r="I183" s="41"/>
      <c r="J183" s="33"/>
    </row>
    <row r="184" ht="22.2" customHeight="1" spans="1:10">
      <c r="A184" s="36"/>
      <c r="B184" s="37"/>
      <c r="C184" s="17"/>
      <c r="D184" s="38"/>
      <c r="E184" s="39"/>
      <c r="F184" s="39"/>
      <c r="G184" s="40"/>
      <c r="H184" s="17"/>
      <c r="I184" s="41"/>
      <c r="J184" s="33"/>
    </row>
    <row r="185" ht="22.2" customHeight="1" spans="1:10">
      <c r="A185" s="36"/>
      <c r="B185" s="37"/>
      <c r="C185" s="17"/>
      <c r="D185" s="38"/>
      <c r="E185" s="39"/>
      <c r="F185" s="39"/>
      <c r="G185" s="40"/>
      <c r="H185" s="17"/>
      <c r="I185" s="41"/>
      <c r="J185" s="33"/>
    </row>
    <row r="186" ht="22.2" customHeight="1" spans="1:10">
      <c r="A186" s="36"/>
      <c r="B186" s="37"/>
      <c r="C186" s="17"/>
      <c r="D186" s="38"/>
      <c r="E186" s="39"/>
      <c r="F186" s="39"/>
      <c r="G186" s="40"/>
      <c r="H186" s="17"/>
      <c r="I186" s="41"/>
      <c r="J186" s="33"/>
    </row>
    <row r="187" ht="22.2" customHeight="1" spans="1:10">
      <c r="A187" s="36"/>
      <c r="B187" s="37"/>
      <c r="C187" s="17"/>
      <c r="D187" s="38"/>
      <c r="E187" s="39"/>
      <c r="F187" s="39"/>
      <c r="G187" s="40"/>
      <c r="H187" s="17"/>
      <c r="I187" s="41"/>
      <c r="J187" s="33"/>
    </row>
    <row r="188" ht="22.2" customHeight="1" spans="1:10">
      <c r="A188" s="36"/>
      <c r="B188" s="37"/>
      <c r="C188" s="17"/>
      <c r="D188" s="38"/>
      <c r="E188" s="39"/>
      <c r="F188" s="39"/>
      <c r="G188" s="40"/>
      <c r="H188" s="17"/>
      <c r="I188" s="41"/>
      <c r="J188" s="33"/>
    </row>
    <row r="189" ht="22.2" customHeight="1" spans="1:10">
      <c r="A189" s="36"/>
      <c r="B189" s="37"/>
      <c r="C189" s="17"/>
      <c r="D189" s="38"/>
      <c r="E189" s="39"/>
      <c r="F189" s="39"/>
      <c r="G189" s="40"/>
      <c r="H189" s="17"/>
      <c r="I189" s="41"/>
      <c r="J189" s="33"/>
    </row>
    <row r="190" ht="22.2" customHeight="1" spans="1:10">
      <c r="A190" s="36"/>
      <c r="B190" s="37"/>
      <c r="C190" s="17"/>
      <c r="D190" s="38"/>
      <c r="E190" s="39"/>
      <c r="F190" s="39"/>
      <c r="G190" s="40"/>
      <c r="H190" s="17"/>
      <c r="I190" s="41"/>
      <c r="J190" s="33"/>
    </row>
    <row r="191" ht="22.2" customHeight="1" spans="1:10">
      <c r="A191" s="36"/>
      <c r="B191" s="37"/>
      <c r="C191" s="17"/>
      <c r="D191" s="38"/>
      <c r="E191" s="39"/>
      <c r="F191" s="39"/>
      <c r="G191" s="40"/>
      <c r="H191" s="17"/>
      <c r="I191" s="41"/>
      <c r="J191" s="33"/>
    </row>
    <row r="192" ht="22.2" customHeight="1" spans="1:10">
      <c r="A192" s="36"/>
      <c r="B192" s="37"/>
      <c r="C192" s="17"/>
      <c r="D192" s="38"/>
      <c r="E192" s="39"/>
      <c r="F192" s="39"/>
      <c r="G192" s="40"/>
      <c r="H192" s="17"/>
      <c r="I192" s="41"/>
      <c r="J192" s="33"/>
    </row>
    <row r="193" ht="22.2" customHeight="1" spans="1:10">
      <c r="A193" s="36"/>
      <c r="B193" s="37"/>
      <c r="C193" s="17"/>
      <c r="D193" s="38"/>
      <c r="E193" s="39"/>
      <c r="F193" s="39"/>
      <c r="G193" s="40"/>
      <c r="H193" s="17"/>
      <c r="I193" s="41"/>
      <c r="J193" s="33"/>
    </row>
    <row r="194" ht="22.2" customHeight="1" spans="1:10">
      <c r="A194" s="36"/>
      <c r="B194" s="37"/>
      <c r="C194" s="17"/>
      <c r="D194" s="38"/>
      <c r="E194" s="39"/>
      <c r="F194" s="39"/>
      <c r="G194" s="40"/>
      <c r="H194" s="17"/>
      <c r="I194" s="41"/>
      <c r="J194" s="33"/>
    </row>
    <row r="195" ht="22.2" customHeight="1" spans="1:10">
      <c r="A195" s="36"/>
      <c r="B195" s="37"/>
      <c r="C195" s="17"/>
      <c r="D195" s="38"/>
      <c r="E195" s="39"/>
      <c r="F195" s="39"/>
      <c r="G195" s="40"/>
      <c r="H195" s="17"/>
      <c r="I195" s="41"/>
      <c r="J195" s="33"/>
    </row>
    <row r="196" ht="22.2" customHeight="1" spans="1:10">
      <c r="A196" s="36"/>
      <c r="B196" s="37"/>
      <c r="C196" s="17"/>
      <c r="D196" s="38"/>
      <c r="E196" s="39"/>
      <c r="F196" s="39"/>
      <c r="G196" s="40"/>
      <c r="H196" s="17"/>
      <c r="I196" s="41"/>
      <c r="J196" s="33"/>
    </row>
    <row r="197" ht="22.2" customHeight="1" spans="1:10">
      <c r="A197" s="36"/>
      <c r="B197" s="37"/>
      <c r="C197" s="17"/>
      <c r="D197" s="38"/>
      <c r="E197" s="39"/>
      <c r="F197" s="39"/>
      <c r="G197" s="40"/>
      <c r="H197" s="17"/>
      <c r="I197" s="41"/>
      <c r="J197" s="33"/>
    </row>
    <row r="198" ht="22.2" customHeight="1" spans="1:10">
      <c r="A198" s="36"/>
      <c r="B198" s="37"/>
      <c r="C198" s="17"/>
      <c r="D198" s="38"/>
      <c r="E198" s="39"/>
      <c r="F198" s="39"/>
      <c r="G198" s="40"/>
      <c r="H198" s="17"/>
      <c r="I198" s="41"/>
      <c r="J198" s="33"/>
    </row>
    <row r="199" ht="22.2" customHeight="1" spans="1:10">
      <c r="A199" s="36"/>
      <c r="B199" s="37"/>
      <c r="C199" s="17"/>
      <c r="D199" s="38"/>
      <c r="E199" s="39"/>
      <c r="F199" s="39"/>
      <c r="G199" s="40"/>
      <c r="H199" s="17"/>
      <c r="I199" s="41"/>
      <c r="J199" s="33"/>
    </row>
    <row r="200" ht="22.2" customHeight="1" spans="1:10">
      <c r="A200" s="36"/>
      <c r="B200" s="37"/>
      <c r="C200" s="17"/>
      <c r="D200" s="38"/>
      <c r="E200" s="39"/>
      <c r="F200" s="39"/>
      <c r="G200" s="40"/>
      <c r="H200" s="17"/>
      <c r="I200" s="41"/>
      <c r="J200" s="33"/>
    </row>
    <row r="201" ht="22.2" customHeight="1" spans="1:10">
      <c r="A201" s="36"/>
      <c r="B201" s="37"/>
      <c r="C201" s="17"/>
      <c r="D201" s="38"/>
      <c r="E201" s="39"/>
      <c r="F201" s="39"/>
      <c r="G201" s="40"/>
      <c r="H201" s="17"/>
      <c r="I201" s="41"/>
      <c r="J201" s="33"/>
    </row>
  </sheetData>
  <mergeCells count="1">
    <mergeCell ref="A1:G1"/>
  </mergeCells>
  <conditionalFormatting sqref="K17:K20">
    <cfRule type="expression" dxfId="0" priority="1">
      <formula>$G20="XYY1"</formula>
    </cfRule>
    <cfRule type="expression" dxfId="1" priority="2">
      <formula>$G20="YEG1"</formula>
    </cfRule>
    <cfRule type="expression" dxfId="2" priority="3">
      <formula>$G20="YVR2"</formula>
    </cfRule>
    <cfRule type="expression" dxfId="3" priority="4">
      <formula>$G20="UPS"</formula>
    </cfRule>
    <cfRule type="expression" dxfId="4" priority="5">
      <formula>$G20="YVR3"</formula>
    </cfRule>
    <cfRule type="expression" dxfId="5" priority="6">
      <formula>$G20="YVR4"</formula>
    </cfRule>
    <cfRule type="expression" dxfId="6" priority="7">
      <formula>$G20="私人地址"</formula>
    </cfRule>
    <cfRule type="expression" dxfId="7" priority="8">
      <formula>$G20="YYC6"</formula>
    </cfRule>
    <cfRule type="expression" dxfId="8" priority="9">
      <formula>$G20="YGK1"</formula>
    </cfRule>
    <cfRule type="expression" dxfId="9" priority="10">
      <formula>$G20="YOO1"</formula>
    </cfRule>
    <cfRule type="expression" dxfId="10" priority="11">
      <formula>$G20="YEG1"</formula>
    </cfRule>
    <cfRule type="expression" dxfId="11" priority="12">
      <formula>$G20="YEG2"</formula>
    </cfRule>
    <cfRule type="expression" dxfId="12" priority="13">
      <formula>$G20="YYC4"</formula>
    </cfRule>
    <cfRule type="expression" dxfId="13" priority="14">
      <formula>$G20="YOW1"</formula>
    </cfRule>
    <cfRule type="expression" dxfId="14" priority="15">
      <formula>$G20="YXU1"</formula>
    </cfRule>
    <cfRule type="expression" dxfId="15" priority="16">
      <formula>$G20="YHM1"</formula>
    </cfRule>
    <cfRule type="expression" dxfId="16" priority="17">
      <formula>$G20="YOW3"</formula>
    </cfRule>
    <cfRule type="expression" dxfId="17" priority="18">
      <formula>$G20="YYZ3"</formula>
    </cfRule>
    <cfRule type="expression" dxfId="18" priority="19">
      <formula>$G20="YYZ9"</formula>
    </cfRule>
    <cfRule type="expression" dxfId="19" priority="20">
      <formula>$G20="YYZ4"</formula>
    </cfRule>
    <cfRule type="expression" dxfId="20" priority="21">
      <formula>$G20="YYZ7"</formula>
    </cfRule>
  </conditionalFormatting>
  <conditionalFormatting sqref="C1:C2 C36:C1048576">
    <cfRule type="duplicateValues" dxfId="21" priority="67"/>
  </conditionalFormatting>
  <conditionalFormatting sqref="A2:H2 A3:F30 A31:H1048576">
    <cfRule type="expression" dxfId="0" priority="43">
      <formula>$G2="XYY1"</formula>
    </cfRule>
    <cfRule type="expression" dxfId="1" priority="44">
      <formula>$G2="YEG1"</formula>
    </cfRule>
    <cfRule type="expression" dxfId="2" priority="45">
      <formula>$G2="YVR2"</formula>
    </cfRule>
    <cfRule type="expression" dxfId="3" priority="46">
      <formula>$G2="UPS"</formula>
    </cfRule>
    <cfRule type="expression" dxfId="4" priority="48">
      <formula>$G2="YVR3"</formula>
    </cfRule>
    <cfRule type="expression" dxfId="5" priority="49">
      <formula>$G2="YVR4"</formula>
    </cfRule>
    <cfRule type="expression" dxfId="6" priority="50">
      <formula>$G2="私人地址"</formula>
    </cfRule>
    <cfRule type="expression" dxfId="7" priority="51">
      <formula>$G2="YYC6"</formula>
    </cfRule>
    <cfRule type="expression" dxfId="8" priority="52">
      <formula>$G2="YGK1"</formula>
    </cfRule>
    <cfRule type="expression" dxfId="9" priority="53">
      <formula>$G2="YOO1"</formula>
    </cfRule>
    <cfRule type="expression" dxfId="10" priority="54">
      <formula>$G2="YEG1"</formula>
    </cfRule>
    <cfRule type="expression" dxfId="11" priority="55">
      <formula>$G2="YEG2"</formula>
    </cfRule>
    <cfRule type="expression" dxfId="12" priority="56">
      <formula>$G2="YYC4"</formula>
    </cfRule>
    <cfRule type="expression" dxfId="13" priority="57">
      <formula>$G2="YOW1"</formula>
    </cfRule>
    <cfRule type="expression" dxfId="14" priority="58">
      <formula>$G2="YXU1"</formula>
    </cfRule>
    <cfRule type="expression" dxfId="15" priority="59">
      <formula>$G2="YHM1"</formula>
    </cfRule>
    <cfRule type="expression" dxfId="16" priority="60">
      <formula>$G2="YOW3"</formula>
    </cfRule>
    <cfRule type="expression" dxfId="17" priority="62">
      <formula>$G2="YYZ3"</formula>
    </cfRule>
    <cfRule type="expression" dxfId="18" priority="63">
      <formula>$G2="YYZ9"</formula>
    </cfRule>
    <cfRule type="expression" dxfId="19" priority="64">
      <formula>$G2="YYZ4"</formula>
    </cfRule>
    <cfRule type="expression" dxfId="20" priority="65">
      <formula>$G2="YYZ7"</formula>
    </cfRule>
  </conditionalFormatting>
  <conditionalFormatting sqref="G3:H30">
    <cfRule type="expression" dxfId="0" priority="22">
      <formula>$G3="XYY1"</formula>
    </cfRule>
    <cfRule type="expression" dxfId="1" priority="23">
      <formula>$G3="YEG1"</formula>
    </cfRule>
    <cfRule type="expression" dxfId="2" priority="24">
      <formula>$G3="YVR2"</formula>
    </cfRule>
    <cfRule type="expression" dxfId="3" priority="25">
      <formula>$G3="UPS"</formula>
    </cfRule>
    <cfRule type="expression" dxfId="4" priority="26">
      <formula>$G3="YVR3"</formula>
    </cfRule>
    <cfRule type="expression" dxfId="5" priority="27">
      <formula>$G3="YVR4"</formula>
    </cfRule>
    <cfRule type="expression" dxfId="6" priority="28">
      <formula>$G3="私人地址"</formula>
    </cfRule>
    <cfRule type="expression" dxfId="7" priority="29">
      <formula>$G3="YYC6"</formula>
    </cfRule>
    <cfRule type="expression" dxfId="8" priority="30">
      <formula>$G3="YGK1"</formula>
    </cfRule>
    <cfRule type="expression" dxfId="9" priority="31">
      <formula>$G3="YOO1"</formula>
    </cfRule>
    <cfRule type="expression" dxfId="10" priority="32">
      <formula>$G3="YEG1"</formula>
    </cfRule>
    <cfRule type="expression" dxfId="11" priority="33">
      <formula>$G3="YEG2"</formula>
    </cfRule>
    <cfRule type="expression" dxfId="12" priority="34">
      <formula>$G3="YYC4"</formula>
    </cfRule>
    <cfRule type="expression" dxfId="13" priority="35">
      <formula>$G3="YOW1"</formula>
    </cfRule>
    <cfRule type="expression" dxfId="14" priority="36">
      <formula>$G3="YXU1"</formula>
    </cfRule>
    <cfRule type="expression" dxfId="15" priority="37">
      <formula>$G3="YHM1"</formula>
    </cfRule>
    <cfRule type="expression" dxfId="16" priority="38">
      <formula>$G3="YOW3"</formula>
    </cfRule>
    <cfRule type="expression" dxfId="17" priority="39">
      <formula>$G3="YYZ3"</formula>
    </cfRule>
    <cfRule type="expression" dxfId="18" priority="40">
      <formula>$G3="YYZ9"</formula>
    </cfRule>
    <cfRule type="expression" dxfId="19" priority="41">
      <formula>$G3="YYZ4"</formula>
    </cfRule>
    <cfRule type="expression" dxfId="20" priority="42">
      <formula>$G3="YYZ7"</formula>
    </cfRule>
  </conditionalFormatting>
  <dataValidations count="5">
    <dataValidation type="whole" operator="greaterThan" allowBlank="1" showInputMessage="1" showErrorMessage="1" error="请填写大于 0 的数字 " sqref="D2 D172:D1048576">
      <formula1>0</formula1>
    </dataValidation>
    <dataValidation type="textLength" operator="between" allowBlank="1" showInputMessage="1" showErrorMessage="1" error="请按填写说明中第2项的要求填写" sqref="G2 G202:G1048576">
      <formula1>4</formula1>
      <formula2>10</formula2>
    </dataValidation>
    <dataValidation type="textLength" operator="between" allowBlank="1" showInputMessage="1" showErrorMessage="1" error="请按填写说明中第2项的要求填写" sqref="G172:G201">
      <formula1>3</formula1>
      <formula2>10</formula2>
    </dataValidation>
    <dataValidation type="list" showInputMessage="1" showErrorMessage="1" sqref="H1:H2 H202:H1048576">
      <formula1>Sheet2!$B$3:$B$6</formula1>
    </dataValidation>
    <dataValidation type="list" allowBlank="1" showInputMessage="1" showErrorMessage="1" error="请在下拉菜单中选择派送方式" sqref="H172:H201">
      <formula1>Sheet2!$B$3:$B$6</formula1>
    </dataValidation>
  </dataValidations>
  <pageMargins left="0.7" right="0.7" top="0.75" bottom="0.75" header="0.3" footer="0.3"/>
  <pageSetup paperSize="9" firstPageNumber="4294967295" orientation="portrait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B6"/>
  <sheetViews>
    <sheetView workbookViewId="0">
      <selection activeCell="B3" sqref="B3"/>
    </sheetView>
  </sheetViews>
  <sheetFormatPr defaultColWidth="9" defaultRowHeight="14.25" outlineLevelRow="5" outlineLevelCol="1"/>
  <cols>
    <col min="2" max="2" width="12" customWidth="1"/>
  </cols>
  <sheetData>
    <row r="3" spans="2:2">
      <c r="B3" s="1" t="s">
        <v>15</v>
      </c>
    </row>
    <row r="4" spans="2:2">
      <c r="B4" s="1" t="s">
        <v>502</v>
      </c>
    </row>
    <row r="5" spans="2:2">
      <c r="B5" s="1" t="s">
        <v>511</v>
      </c>
    </row>
    <row r="6" spans="2:2">
      <c r="B6" s="1" t="s">
        <v>537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派送计划 Unloading Plan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mrliu</dc:creator>
  <cp:lastModifiedBy>阿坑坑</cp:lastModifiedBy>
  <cp:revision>1</cp:revision>
  <dcterms:created xsi:type="dcterms:W3CDTF">2023-05-12T11:15:00Z</dcterms:created>
  <dcterms:modified xsi:type="dcterms:W3CDTF">2026-03-06T14:02:58Z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1560782B736542BFBC0AE78E6F48875F_13</vt:lpwstr>
  </property>
  <property fmtid="{D5CDD505-2E9C-101B-9397-08002B2CF9AE}" pid="4" name="CalculationRule">
    <vt:i4>0</vt:i4>
  </property>
</Properties>
</file>